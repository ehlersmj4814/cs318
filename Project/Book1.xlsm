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Students.uwec.edu\ehlersmj4814$\Documents\CS 318\cs318\Project\"/>
    </mc:Choice>
  </mc:AlternateContent>
  <bookViews>
    <workbookView xWindow="0" yWindow="0" windowWidth="28800" windowHeight="12300" activeTab="2"/>
  </bookViews>
  <sheets>
    <sheet name="PreProcess" sheetId="3" r:id="rId1"/>
    <sheet name="Processing" sheetId="1" r:id="rId2"/>
    <sheet name="Table" sheetId="4"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3" l="1"/>
  <c r="D2" i="1"/>
  <c r="G1" i="1" l="1"/>
  <c r="G56" i="1" l="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F100" i="1" l="1"/>
  <c r="H100" i="1" s="1"/>
  <c r="F99" i="1"/>
  <c r="H99" i="1" s="1"/>
  <c r="F98" i="1"/>
  <c r="H98" i="1" s="1"/>
  <c r="F97" i="1"/>
  <c r="H97" i="1" s="1"/>
  <c r="F96" i="1"/>
  <c r="H96" i="1" s="1"/>
  <c r="F95" i="1"/>
  <c r="H95" i="1" s="1"/>
  <c r="F94" i="1"/>
  <c r="H94" i="1" s="1"/>
  <c r="F93" i="1"/>
  <c r="H93" i="1" s="1"/>
  <c r="F92" i="1"/>
  <c r="H92" i="1" s="1"/>
  <c r="F91" i="1"/>
  <c r="H91" i="1" s="1"/>
  <c r="F90" i="1"/>
  <c r="H90" i="1" s="1"/>
  <c r="F89" i="1"/>
  <c r="H89" i="1" s="1"/>
  <c r="F88" i="1"/>
  <c r="H88" i="1" s="1"/>
  <c r="F87" i="1"/>
  <c r="H87" i="1" s="1"/>
  <c r="F86" i="1"/>
  <c r="H86" i="1" s="1"/>
  <c r="F85" i="1"/>
  <c r="H85" i="1" s="1"/>
  <c r="F84" i="1"/>
  <c r="H84" i="1" s="1"/>
  <c r="F83" i="1"/>
  <c r="H83" i="1" s="1"/>
  <c r="F82" i="1"/>
  <c r="H82" i="1" s="1"/>
  <c r="F81" i="1"/>
  <c r="H81" i="1" s="1"/>
  <c r="F80" i="1"/>
  <c r="H80" i="1" s="1"/>
  <c r="F79" i="1"/>
  <c r="H79" i="1" s="1"/>
  <c r="F78" i="1"/>
  <c r="H78" i="1" s="1"/>
  <c r="F77" i="1"/>
  <c r="H77" i="1" s="1"/>
  <c r="F76" i="1"/>
  <c r="H76" i="1" s="1"/>
  <c r="F75" i="1"/>
  <c r="H75" i="1" s="1"/>
  <c r="F74" i="1"/>
  <c r="H74" i="1" s="1"/>
  <c r="F73" i="1"/>
  <c r="H73" i="1" s="1"/>
  <c r="F72" i="1"/>
  <c r="H72" i="1" s="1"/>
  <c r="F71" i="1"/>
  <c r="H71" i="1" s="1"/>
  <c r="F70" i="1"/>
  <c r="H70" i="1" s="1"/>
  <c r="F69" i="1"/>
  <c r="H69" i="1" s="1"/>
  <c r="F68" i="1"/>
  <c r="H68" i="1" s="1"/>
  <c r="F67" i="1"/>
  <c r="H67" i="1" s="1"/>
  <c r="F66" i="1"/>
  <c r="H66" i="1" s="1"/>
  <c r="F65" i="1"/>
  <c r="H65" i="1" s="1"/>
  <c r="F64" i="1"/>
  <c r="H64" i="1" s="1"/>
  <c r="F63" i="1"/>
  <c r="H63" i="1" s="1"/>
  <c r="F62" i="1"/>
  <c r="H62" i="1" s="1"/>
  <c r="F61" i="1"/>
  <c r="H61" i="1" s="1"/>
  <c r="F60" i="1"/>
  <c r="H60" i="1" s="1"/>
  <c r="F59" i="1"/>
  <c r="H59" i="1" s="1"/>
  <c r="F58" i="1"/>
  <c r="F57" i="1"/>
  <c r="H57" i="1" s="1"/>
  <c r="F56" i="1"/>
  <c r="H56" i="1" s="1"/>
  <c r="F55" i="1"/>
  <c r="F53" i="1"/>
  <c r="F52" i="1"/>
  <c r="F50" i="1"/>
  <c r="F48" i="1"/>
  <c r="F46" i="1"/>
  <c r="F45" i="1"/>
  <c r="F44" i="1"/>
  <c r="F43" i="1"/>
  <c r="F41" i="1"/>
  <c r="F39" i="1"/>
  <c r="F37" i="1"/>
  <c r="F36" i="1"/>
  <c r="F34" i="1"/>
  <c r="F32" i="1"/>
  <c r="F31" i="1"/>
  <c r="F29" i="1"/>
  <c r="F28" i="1"/>
  <c r="F27" i="1"/>
  <c r="F25" i="1"/>
  <c r="F24" i="1"/>
  <c r="F22" i="1"/>
  <c r="F21" i="1"/>
  <c r="F19" i="1"/>
  <c r="F17" i="1"/>
  <c r="F15" i="1"/>
  <c r="F14" i="1"/>
  <c r="F12" i="1"/>
  <c r="F10" i="1"/>
  <c r="F8" i="1"/>
  <c r="F7" i="1"/>
  <c r="F5" i="1"/>
  <c r="F3" i="1"/>
  <c r="H3" i="1" s="1"/>
  <c r="F1" i="1"/>
  <c r="H1" i="1" s="1"/>
  <c r="H58" i="1" l="1"/>
  <c r="G55" i="1"/>
  <c r="H55" i="1" s="1"/>
  <c r="G47" i="1"/>
  <c r="G43" i="1"/>
  <c r="H43" i="1" s="1"/>
  <c r="G35" i="1"/>
  <c r="G31" i="1"/>
  <c r="H31" i="1" s="1"/>
  <c r="G27" i="1"/>
  <c r="H27" i="1" s="1"/>
  <c r="G19" i="1"/>
  <c r="H19" i="1" s="1"/>
  <c r="G11" i="1"/>
  <c r="G7" i="1"/>
  <c r="H7" i="1" s="1"/>
  <c r="G54" i="1"/>
  <c r="G50" i="1"/>
  <c r="H50" i="1" s="1"/>
  <c r="G42" i="1"/>
  <c r="G38" i="1"/>
  <c r="G30" i="1"/>
  <c r="G26" i="1"/>
  <c r="G18" i="1"/>
  <c r="G14" i="1"/>
  <c r="H14" i="1" s="1"/>
  <c r="G6" i="1"/>
  <c r="G2" i="1"/>
  <c r="G49" i="1"/>
  <c r="G45" i="1"/>
  <c r="H45" i="1" s="1"/>
  <c r="G37" i="1"/>
  <c r="H37" i="1" s="1"/>
  <c r="G29" i="1"/>
  <c r="H29" i="1" s="1"/>
  <c r="G21" i="1"/>
  <c r="H21" i="1" s="1"/>
  <c r="G17" i="1"/>
  <c r="H17" i="1" s="1"/>
  <c r="G9" i="1"/>
  <c r="G5" i="1"/>
  <c r="H5" i="1" s="1"/>
  <c r="G52" i="1"/>
  <c r="H52" i="1" s="1"/>
  <c r="G44" i="1"/>
  <c r="H44" i="1" s="1"/>
  <c r="G40" i="1"/>
  <c r="G32" i="1"/>
  <c r="H32" i="1" s="1"/>
  <c r="G28" i="1"/>
  <c r="H28" i="1" s="1"/>
  <c r="G20" i="1"/>
  <c r="G16" i="1"/>
  <c r="G8" i="1"/>
  <c r="H8" i="1" s="1"/>
  <c r="G4" i="1"/>
  <c r="G3" i="1"/>
  <c r="G34" i="1"/>
  <c r="H34" i="1" s="1"/>
  <c r="G10" i="1"/>
  <c r="H10" i="1" s="1"/>
  <c r="F6" i="1"/>
  <c r="G41" i="1"/>
  <c r="H41" i="1" s="1"/>
  <c r="F20" i="1"/>
  <c r="G25" i="1"/>
  <c r="H25" i="1" s="1"/>
  <c r="G15" i="1"/>
  <c r="H15" i="1" s="1"/>
  <c r="G33" i="1"/>
  <c r="G36" i="1"/>
  <c r="H36" i="1" s="1"/>
  <c r="G12" i="1"/>
  <c r="H12" i="1" s="1"/>
  <c r="F38" i="1"/>
  <c r="G51" i="1"/>
  <c r="G23" i="1"/>
  <c r="G46" i="1"/>
  <c r="H46" i="1" s="1"/>
  <c r="F47" i="1"/>
  <c r="G22" i="1"/>
  <c r="H22" i="1" s="1"/>
  <c r="F23" i="1"/>
  <c r="G53" i="1"/>
  <c r="H53" i="1" s="1"/>
  <c r="F54" i="1"/>
  <c r="G13" i="1"/>
  <c r="F2" i="1"/>
  <c r="G48" i="1"/>
  <c r="H48" i="1" s="1"/>
  <c r="F49" i="1"/>
  <c r="H49" i="1" s="1"/>
  <c r="G24" i="1"/>
  <c r="H24" i="1" s="1"/>
  <c r="E1" i="1"/>
  <c r="E2" i="1" s="1"/>
  <c r="E3" i="1" s="1"/>
  <c r="E4" i="1" s="1"/>
  <c r="E5" i="1" s="1"/>
  <c r="E6" i="1" s="1"/>
  <c r="E7" i="1" s="1"/>
  <c r="E8" i="1" s="1"/>
  <c r="E9" i="1" s="1"/>
  <c r="E10" i="1" s="1"/>
  <c r="E11" i="1" s="1"/>
  <c r="E12" i="1" s="1"/>
  <c r="E13" i="1" s="1"/>
  <c r="E14" i="1" s="1"/>
  <c r="E15" i="1" s="1"/>
  <c r="E16" i="1" s="1"/>
  <c r="E17" i="1" s="1"/>
  <c r="E18" i="1" s="1"/>
  <c r="E19" i="1" s="1"/>
  <c r="E20" i="1" s="1"/>
  <c r="E21" i="1" s="1"/>
  <c r="E22" i="1" s="1"/>
  <c r="E23" i="1" s="1"/>
  <c r="E24" i="1" s="1"/>
  <c r="E25" i="1" s="1"/>
  <c r="E26" i="1" s="1"/>
  <c r="E27" i="1" s="1"/>
  <c r="E28" i="1" s="1"/>
  <c r="E29" i="1" s="1"/>
  <c r="E30" i="1" s="1"/>
  <c r="E31" i="1" s="1"/>
  <c r="E32" i="1" s="1"/>
  <c r="E33" i="1" s="1"/>
  <c r="E34" i="1" s="1"/>
  <c r="E35" i="1" s="1"/>
  <c r="E36" i="1" s="1"/>
  <c r="E37" i="1" s="1"/>
  <c r="E38" i="1" s="1"/>
  <c r="E39" i="1" s="1"/>
  <c r="E40" i="1" s="1"/>
  <c r="E41" i="1" s="1"/>
  <c r="E42" i="1" s="1"/>
  <c r="E43" i="1" s="1"/>
  <c r="E44" i="1" s="1"/>
  <c r="E45" i="1" s="1"/>
  <c r="E46" i="1" s="1"/>
  <c r="E47" i="1" s="1"/>
  <c r="E48" i="1" s="1"/>
  <c r="E49" i="1" s="1"/>
  <c r="E50" i="1" s="1"/>
  <c r="E51" i="1" s="1"/>
  <c r="E52" i="1" s="1"/>
  <c r="E53" i="1" s="1"/>
  <c r="E54" i="1" s="1"/>
  <c r="E55" i="1" s="1"/>
  <c r="E56" i="1" s="1"/>
  <c r="E57" i="1" s="1"/>
  <c r="E58" i="1" s="1"/>
  <c r="E59" i="1" s="1"/>
  <c r="E60" i="1" s="1"/>
  <c r="E61" i="1" s="1"/>
  <c r="E62" i="1" s="1"/>
  <c r="E63" i="1" s="1"/>
  <c r="E64" i="1" s="1"/>
  <c r="E65" i="1" s="1"/>
  <c r="E66" i="1" s="1"/>
  <c r="E67" i="1" s="1"/>
  <c r="E68" i="1" s="1"/>
  <c r="E69" i="1" s="1"/>
  <c r="E70" i="1" s="1"/>
  <c r="E71" i="1" s="1"/>
  <c r="E72" i="1" s="1"/>
  <c r="E73" i="1" s="1"/>
  <c r="E74" i="1" s="1"/>
  <c r="E75" i="1" s="1"/>
  <c r="E76" i="1" s="1"/>
  <c r="E77" i="1" s="1"/>
  <c r="E78" i="1" s="1"/>
  <c r="E79" i="1" s="1"/>
  <c r="E80" i="1" s="1"/>
  <c r="E81" i="1" s="1"/>
  <c r="E82" i="1" s="1"/>
  <c r="E83" i="1" s="1"/>
  <c r="E84" i="1" s="1"/>
  <c r="E85" i="1" s="1"/>
  <c r="E86" i="1" s="1"/>
  <c r="E87" i="1" s="1"/>
  <c r="E88" i="1" s="1"/>
  <c r="E89" i="1" s="1"/>
  <c r="E90" i="1" s="1"/>
  <c r="E91" i="1" s="1"/>
  <c r="E92" i="1" s="1"/>
  <c r="E93" i="1" s="1"/>
  <c r="E94" i="1" s="1"/>
  <c r="E95" i="1" s="1"/>
  <c r="E96" i="1" s="1"/>
  <c r="E97" i="1" s="1"/>
  <c r="E98" i="1" s="1"/>
  <c r="E99" i="1" s="1"/>
  <c r="E100" i="1" s="1"/>
  <c r="F4" i="1"/>
  <c r="F11" i="1"/>
  <c r="H11" i="1" s="1"/>
  <c r="F42" i="1"/>
  <c r="F9" i="1"/>
  <c r="F16" i="1"/>
  <c r="H16" i="1" s="1"/>
  <c r="F33" i="1"/>
  <c r="G39" i="1"/>
  <c r="H39" i="1" s="1"/>
  <c r="F40" i="1"/>
  <c r="H40" i="1" s="1"/>
  <c r="F35" i="1"/>
  <c r="F30" i="1"/>
  <c r="F18" i="1"/>
  <c r="F26" i="1"/>
  <c r="F51" i="1"/>
  <c r="F13" i="1"/>
  <c r="H30" i="1" l="1"/>
  <c r="H13" i="1"/>
  <c r="H54" i="1"/>
  <c r="H47" i="1"/>
  <c r="H35" i="1"/>
  <c r="H23" i="1"/>
  <c r="H26" i="1"/>
  <c r="H18" i="1"/>
  <c r="H42" i="1"/>
  <c r="H4" i="1"/>
  <c r="H38" i="1"/>
  <c r="H51" i="1"/>
  <c r="G1048576" i="1"/>
  <c r="H9" i="1"/>
  <c r="H2" i="1"/>
  <c r="H6" i="1"/>
  <c r="H33" i="1"/>
  <c r="H20" i="1"/>
</calcChain>
</file>

<file path=xl/sharedStrings.xml><?xml version="1.0" encoding="utf-8"?>
<sst xmlns="http://schemas.openxmlformats.org/spreadsheetml/2006/main" count="6861" uniqueCount="2705">
  <si>
    <t>Pressurized Glands</t>
  </si>
  <si>
    <t>Survival Instincts</t>
  </si>
  <si>
    <t>Regenerative Microbes</t>
  </si>
  <si>
    <t>Envenomed Nest</t>
  </si>
  <si>
    <t>Toxic Nests deal 75% more damage over 3 seconds.</t>
  </si>
  <si>
    <t>Prolific Dispersal</t>
  </si>
  <si>
    <t>Reduces the cooldown of Toxic Nest by 2 seconds and adds 2 additional charges.</t>
  </si>
  <si>
    <t>Ballistospores</t>
  </si>
  <si>
    <t>Sustained Carapace</t>
  </si>
  <si>
    <t>Adrenal Overload</t>
  </si>
  <si>
    <t>Symbiote host gains 25% increased Attack Speed.</t>
  </si>
  <si>
    <t>Needlespine</t>
  </si>
  <si>
    <t>Vile Nest</t>
  </si>
  <si>
    <t>Toxic Nests slow enemy Movement Speed by 40% for 2.5 seconds.</t>
  </si>
  <si>
    <t>Networked Carapace</t>
  </si>
  <si>
    <t>Calldown: MULE</t>
  </si>
  <si>
    <t>Activate to calldown a Mule that repairs Structures, one at a time, near target point for 40 seconds, healing for 100 Health every 1 second. Grants 1 ammo every 3 seconds.</t>
  </si>
  <si>
    <t>Ultimate Evolution</t>
  </si>
  <si>
    <t>Clone target allied Hero and control it for 20 seconds. Abathur has perfected the clone, granting it 20% Ability Power, 20% bonus Attack Damage, and 10% bonus Movement Speed. Cannot use their Heroic Ability.</t>
  </si>
  <si>
    <t>Evolve Monstrosity</t>
  </si>
  <si>
    <t>Assault Strain</t>
  </si>
  <si>
    <t>Locust Basic Attacks cleave for 50% damage, and explode on death for 224 (107 + 4% per level) damage.</t>
  </si>
  <si>
    <t>Bombard Strain</t>
  </si>
  <si>
    <t>Spatial Efficiency</t>
  </si>
  <si>
    <t>Soma Transference</t>
  </si>
  <si>
    <t>Envenomed Spikes</t>
  </si>
  <si>
    <t>Adrenaline Boost</t>
  </si>
  <si>
    <t>Locust Brood</t>
  </si>
  <si>
    <t>Activate to spawn 3 Locusts at a nearby location.</t>
  </si>
  <si>
    <t>Volatile Mutation</t>
  </si>
  <si>
    <t>Ultimate Evolution clones and Monstrosities deal 301 (143 + 4% per level) damage to nearby enemies every 3 seconds and when they die.</t>
  </si>
  <si>
    <t>Evolutionary Link</t>
  </si>
  <si>
    <t>As long as the Ultimate Evolution is alive, the original target of the clone gains a Shield equal to 25% of their maximum Health. Refreshes every 5 seconds.</t>
  </si>
  <si>
    <t>Evolution Complete</t>
  </si>
  <si>
    <t>Monstrosity gains the ability to Deep Tunnel to any visible location once every 25 seconds.</t>
  </si>
  <si>
    <t>Hivemind</t>
  </si>
  <si>
    <t>Symbiote creates an additional Symbiote on a nearby allied Hero. This Symbiote mimics the commands of the first, but does half the damage and shielding.</t>
  </si>
  <si>
    <t>Locust Nest</t>
  </si>
  <si>
    <t>Activate to create a nest that periodically spawns Locusts. Only one Locust Nest can be active at a time.</t>
  </si>
  <si>
    <t/>
  </si>
  <si>
    <t>hero_id</t>
  </si>
  <si>
    <t>talent_level</t>
  </si>
  <si>
    <t>talent_name</t>
  </si>
  <si>
    <t>talent_cooldown</t>
  </si>
  <si>
    <t>talent_desc</t>
  </si>
  <si>
    <t>Extended Spikes</t>
  </si>
  <si>
    <t>Increases the max range of Impale by 25%.</t>
  </si>
  <si>
    <t>Dampen Magic</t>
  </si>
  <si>
    <t>Upon taking Ability Damage, reduce that damage and further Ability Damage by 50% for 1.5 seconds. Can only trigger once every 8 seconds.</t>
  </si>
  <si>
    <t>Assault Scarab</t>
  </si>
  <si>
    <t>Increases the attack damage of spawned Beetles by 30%.</t>
  </si>
  <si>
    <t>Regeneration Master</t>
  </si>
  <si>
    <t>Quest: Gathering a Regeneration Globe increases your Health Regeneration by 1 per second, up to 30. Reward: After gathering 30 Regeneration Globes, you also gain 500 Health.</t>
  </si>
  <si>
    <t>Underking</t>
  </si>
  <si>
    <t>Increases Burrow Charge range by 20% and damage by 100%.</t>
  </si>
  <si>
    <t>Locust Needles</t>
  </si>
  <si>
    <t>Basic Attacks deal 50% of your Basic Attack Damage in an area around the target.</t>
  </si>
  <si>
    <t>Legion of Beetles</t>
  </si>
  <si>
    <t>Shed Exoskeleton</t>
  </si>
  <si>
    <t>Chitinous Plating</t>
  </si>
  <si>
    <t>Leeching Scarabs</t>
  </si>
  <si>
    <t>Beetles heal you for 50% of their damage with each attack if you are nearby.</t>
  </si>
  <si>
    <t>Locust Swarm</t>
  </si>
  <si>
    <t>Deal 145 (69 + 4% per level) damage per second in an area around yourself. Each enemy damaged heals you for 40 (19 + 4% per level) Health. Lasts 8 seconds.</t>
  </si>
  <si>
    <t>Cocoon</t>
  </si>
  <si>
    <t>Wraps target enemy Hero in a cocoon, rendering them unable to act or be targeted for 8 seconds. Allies of the Hero can attack the cocoon to break it and free them early.</t>
  </si>
  <si>
    <t>Burning Rage</t>
  </si>
  <si>
    <t>Deal 23 damage per second to nearby enemies.</t>
  </si>
  <si>
    <t>Urticating Spines</t>
  </si>
  <si>
    <t>Casting Harden Carapace will also deal 176 (84 + 4% per level) damage to nearby enemies.</t>
  </si>
  <si>
    <t>Bed of Barbs</t>
  </si>
  <si>
    <t>Epicenter</t>
  </si>
  <si>
    <t>Increases Burrow Charge impact area by 85% and lowers the cooldown by 4 seconds for each Hero hit.</t>
  </si>
  <si>
    <t>Beetle, Juiced</t>
  </si>
  <si>
    <t>Every 3rd Basic Attack against enemy Heroes sapwns a Beetle.</t>
  </si>
  <si>
    <t>Blood for Blood</t>
  </si>
  <si>
    <t>Hive Master</t>
  </si>
  <si>
    <t>Cryptweave</t>
  </si>
  <si>
    <t>Hardened Shield</t>
  </si>
  <si>
    <t>Activate to reduce damage taken by 75% for 4 seconds.</t>
  </si>
  <si>
    <t>Rewind</t>
  </si>
  <si>
    <t>Activate to reset the cooldowns of your Basic Abilities.</t>
  </si>
  <si>
    <t>Reactive Parry</t>
  </si>
  <si>
    <t>Activating Twin Blades reduces the damage received from the next Hero Basic Attack by 75%. Can store up to 2 charges.</t>
  </si>
  <si>
    <t>Amateur Opponent</t>
  </si>
  <si>
    <t>Twin Blades attacks deal 150% bonus damage versus non-Heroic enemies.</t>
  </si>
  <si>
    <t>Seasoned Marksman</t>
  </si>
  <si>
    <t>Quest: Every Minion killed near you grants 0.2 Attack Damage, and Takedowns grant 0.5 Attack Damage.Reward: Upon gaining 40 bonus Attack Damage, you can also activate Seasoned Marksman to increase your Attack Speed by 40% for 3 seconds. 60 second cooldown.</t>
  </si>
  <si>
    <t>Psionic Synergy</t>
  </si>
  <si>
    <t>Cooldown Reduction gained by hitting Heroes with Blade Dash is increased to 4 seconds.</t>
  </si>
  <si>
    <t>Shield Battery</t>
  </si>
  <si>
    <t>Shield Surge</t>
  </si>
  <si>
    <t>Solarite Reaper</t>
  </si>
  <si>
    <t>Increases the damage of the first dash of Blade Dash by 150%.</t>
  </si>
  <si>
    <t>Warp Sickness</t>
  </si>
  <si>
    <t>Chrono Surge</t>
  </si>
  <si>
    <t>Hitting an enemy Hero with Phase Prism grants 50% bonus Attack Speed for 4 seconds.</t>
  </si>
  <si>
    <t>Follow Through</t>
  </si>
  <si>
    <t>After using an ability, your next Basic Attack within 6 seconds deals 40% additional damage.</t>
  </si>
  <si>
    <t>Suppression Pulse</t>
  </si>
  <si>
    <t>Fire a large area pulse from the Spear of Adun, dealing 250 damage and Blinding enemies for 4 seconds. Unlimited range.</t>
  </si>
  <si>
    <t>Purifier Beam</t>
  </si>
  <si>
    <t>Target an enemy Hero with an orbital beam from the Spear of Adun, dealing 404 damage per second for 8 seconds. The beam will chase the target as they move. Unlimited range.</t>
  </si>
  <si>
    <t>Blade Dash cooldown recharges 100% faster while you are below 50% Health.</t>
  </si>
  <si>
    <t>Triple Strike</t>
  </si>
  <si>
    <t>Graviton Vortex</t>
  </si>
  <si>
    <t>Phase Prism pulls and damages an additional enemy Hero near the first.</t>
  </si>
  <si>
    <t>Phase Bulwark</t>
  </si>
  <si>
    <t>When Shield Overload activates, you take 40% less damage from Abilities for 4 seconds.</t>
  </si>
  <si>
    <t>Zealot Charge</t>
  </si>
  <si>
    <t>Titan Killer</t>
  </si>
  <si>
    <t>Psionic Wound</t>
  </si>
  <si>
    <t>Twin Blades final strike causes enemy Heroes to become Vulnerable for 2 seconds, increasing all damage taken by 25%.</t>
  </si>
  <si>
    <t>Plasma Burn</t>
  </si>
  <si>
    <t>While Shield Overload is active, you deal 50 damage a second to nearby enemies.</t>
  </si>
  <si>
    <t>Orbital Bombardment</t>
  </si>
  <si>
    <t>Suppression Pulse gains an additional charge. There is a 10 second cooldown between uses.</t>
  </si>
  <si>
    <t>Target Purified</t>
  </si>
  <si>
    <t>If the target of Purifier Beam dies, it automatically recasts on the nearest enemy Hero.</t>
  </si>
  <si>
    <t>Force of Will</t>
  </si>
  <si>
    <t>Nexus Blades</t>
  </si>
  <si>
    <t>Basic Attacks deal 20% more damage and slow enemy Movement Speed by 20% for 1 second.</t>
  </si>
  <si>
    <t>Block</t>
  </si>
  <si>
    <t>Every 5 seconds, you can Block a Basic Attack from an enemy Hero reducing its damage by 50%. Stores up to 2 charges.</t>
  </si>
  <si>
    <t>Eternal Hunger</t>
  </si>
  <si>
    <t>Quest: Using Frostmourne Hungers on an enemy Hero permanently increases the Mana it restores by 4, up to 40. Reward: After hitting 10 Heroes with Frostmourne Hungers, also increase its damage bonus by 25%.</t>
  </si>
  <si>
    <t>Frost Presence</t>
  </si>
  <si>
    <t>Frozen Wastes</t>
  </si>
  <si>
    <t>Frozen Tempest Mana cost reduced by 4 per second.</t>
  </si>
  <si>
    <t>Deathlord</t>
  </si>
  <si>
    <t>Biting Cold</t>
  </si>
  <si>
    <t>Frozen Tempest damage increased by 50%.</t>
  </si>
  <si>
    <t>Rune Tap</t>
  </si>
  <si>
    <t>Every 3rd Basic Attack heals you for 4% of your max Health.</t>
  </si>
  <si>
    <t>Immortal Coil</t>
  </si>
  <si>
    <t>You gain the healing effect of Death Coil even when you use it on enemies. If you damage an enemy Hero with it, you also heal for an additional 100% of the damage dealt.</t>
  </si>
  <si>
    <t>Icebound Fortitude</t>
  </si>
  <si>
    <t>Activate to reduce damage taken by 25% and reduce the duration of silences, stuns, slows, roots, and polymorphs agaisnt you by 75% for 3 seconds.</t>
  </si>
  <si>
    <t>Army of the Dead</t>
  </si>
  <si>
    <t>Summons Ghouls that last 15 seconds. Sacrifice Ghouls to heal for 586 Health.</t>
  </si>
  <si>
    <t>Summon Sindragosa</t>
  </si>
  <si>
    <t>Deals 504 damage and slows enemies by 60% for 2 seconds. Also disables non-Heroic enemies and Structures for 20 seconds.</t>
  </si>
  <si>
    <t>Trail of Frost</t>
  </si>
  <si>
    <t>Frost Strike</t>
  </si>
  <si>
    <t>Frigid Winds</t>
  </si>
  <si>
    <t>Frozen Tempest reduces enemy Attack Speed by -200% per second, stacking up to 40%.</t>
  </si>
  <si>
    <t>Remorseless Winter</t>
  </si>
  <si>
    <t>Enemy Heroes that remain within Frozen Tempest for 3 seconds are rooted for 1.75 seconds. This effect only happen once every 10 seconds.</t>
  </si>
  <si>
    <t>Frostmourne Feeds</t>
  </si>
  <si>
    <t>Increased application to your next 2 Basic Attacks.</t>
  </si>
  <si>
    <t>Embrace Death</t>
  </si>
  <si>
    <t>Death Coil deals 10% more damage for each 10% of life you are missing.</t>
  </si>
  <si>
    <t>Legion of Northrend</t>
  </si>
  <si>
    <t>3 additional Ghouls are created. Ghouls heal for an additional 50% and last 5 seconds longer.</t>
  </si>
  <si>
    <t>Absolute Zero</t>
  </si>
  <si>
    <t>Sindragosa flies twice as far. Enemy Heroes are rooted for 2 seconds, and then slowed by 60% for 3.5 seconds.</t>
  </si>
  <si>
    <t>Passively increases your Movement Speed by 10%. Activate to increase this bonus to 30% for 3 seconds.</t>
  </si>
  <si>
    <t>Anti-Magic Shield</t>
  </si>
  <si>
    <t>Activate to reduce damage taken from Abilities by 100% for 3 seconds, and heal yourself for 25% of the damage prevented.</t>
  </si>
  <si>
    <t>Taste for Blood</t>
  </si>
  <si>
    <t>Sieging Wrath</t>
  </si>
  <si>
    <t>Master of Destruction</t>
  </si>
  <si>
    <t>Reduces the Mana cost from 16 to 10 per second. Every 1.5 seconds spent channeling increases the range by 10% up to a maximum of 30%.</t>
  </si>
  <si>
    <t>Gluttony</t>
  </si>
  <si>
    <t>All Shall Burn heals you for 25% of the damage dealt.</t>
  </si>
  <si>
    <t>Army of Hell</t>
  </si>
  <si>
    <t>Hellish Hirelings</t>
  </si>
  <si>
    <t>The damage bonus from General of Hell is doubled on Mercenaries.</t>
  </si>
  <si>
    <t>Activate to curse an enemy Hero, dealing 543 (258 + 4% per level) damage over 8 seconds. Minion kills reduce this cooldown by 10 seconds. Can be cast while channeling All Shall Burn. 120 Second Cooldown.</t>
  </si>
  <si>
    <t>Infernal Globe</t>
  </si>
  <si>
    <t>Bound Minion</t>
  </si>
  <si>
    <t>Using General of Hell on a Minion grants them 75 Armor against non-Heroic sources, decreasing damage they take from them by 75% and increases the damage they deal to non-Heroic targets by 100%. Lasts 30 seconds.</t>
  </si>
  <si>
    <t>Gluttonous Ward</t>
  </si>
  <si>
    <t>Activate to place a ward on the ground that restores 3% of your maximum Health and Mana every second for 10 seconds. 45 second cooldown.</t>
  </si>
  <si>
    <t>March of Sin</t>
  </si>
  <si>
    <t>Demonic Invasion</t>
  </si>
  <si>
    <t>Rain a small army of Demonic Grunts down on enemies, dealing 121 (58 + 4% per level) damage per impact. Demon Grunts deal 60 (29 + 4% per level) damage and have 800 (380 + 4% per level) health. Damage is doubled versus non-Heroic targets.</t>
  </si>
  <si>
    <t>Black Pool</t>
  </si>
  <si>
    <t>Create a pool that empowers Azmodan, his Demons, and allied Minions, increasing their attack and ability damage by 75%. Pools last 5 seconds. 20 second Cooldown per charge, max 2 charges.</t>
  </si>
  <si>
    <t>Hellforged Armor</t>
  </si>
  <si>
    <t>Demon Warriors deal 10 damage to nearby enemies every second and are granted 50 Armor against Non-Heroic sources, decreasing the damage they take by 50%.</t>
  </si>
  <si>
    <t>Hedonism</t>
  </si>
  <si>
    <t>Infused Power</t>
  </si>
  <si>
    <t>All Shall Burn gains an additional charge level, increasing its maximum damage by 40%.</t>
  </si>
  <si>
    <t>Battleborn</t>
  </si>
  <si>
    <t>If Globe of Annihilation hits an enemy, a Demon Warrior is summoned at the impact point.</t>
  </si>
  <si>
    <t>Demonic Smite</t>
  </si>
  <si>
    <t>Every 7.5 seconds, the Demon Lieutenant will blast enemy Non-Heroic units with demonic energy, dealing 411 damage.</t>
  </si>
  <si>
    <t>Sin for Sin</t>
  </si>
  <si>
    <t>Perishing Flame</t>
  </si>
  <si>
    <t>When the Grunts die they explode, dealing 68 damage to nearby enemies.</t>
  </si>
  <si>
    <t>Fifth Circle</t>
  </si>
  <si>
    <t>Black Pool makes Basic Attacks and Abilities slow enemies Attack and Movement Speeds by 40% for 3 seconds.</t>
  </si>
  <si>
    <t>Bolt of the Storm</t>
  </si>
  <si>
    <t>Activate to teleport to a nearby location.</t>
  </si>
  <si>
    <t>Forced Recruitment</t>
  </si>
  <si>
    <t>Quest: Enemies that die within 1.5 seconds of being hit by Globe of Annihilation increase its damage by 2, up to 500. Reward: None</t>
  </si>
  <si>
    <t>Quest: Every time Globe of Annihilation hits an Hero, its damage is increased by 4 up to 100. Reward: After hitting 25 Heroes, the range of Globe of Annihilation is increased by 33% and its damage is increased by an additional 100.</t>
  </si>
  <si>
    <t>Dream Shot</t>
  </si>
  <si>
    <t>Reduces the cooldown of Arcane Flare by 1 second for each enemy Hero hit by the outer radius, and 3 seconds for each hit by the inner radius.</t>
  </si>
  <si>
    <t>Unfurling Spray</t>
  </si>
  <si>
    <t>Hyper Shift</t>
  </si>
  <si>
    <t>Each allied Hero healed by Soothing Mist reduces the cooldown of Phase Shift by 2 seconds.</t>
  </si>
  <si>
    <t>Bribe</t>
  </si>
  <si>
    <t>Enemy Minions or captured Mercenaries killed near your Hero grant you stacks of Bribe. Use 20 stacks to bribe target Mercenary, instantly defeating them. Does not work on Bosses. Maximum stacks available: 50.Current number of Bribe stacks: 1</t>
  </si>
  <si>
    <t>Arcane Barrage</t>
  </si>
  <si>
    <t>Increases the range of Arcane Flare by 50%.</t>
  </si>
  <si>
    <t>Unstable Anomaly</t>
  </si>
  <si>
    <t>When Polymorph ends, deal 250 (119 + 4% per level) damage to the target and all nearby enemies.</t>
  </si>
  <si>
    <t>Manic Pixie</t>
  </si>
  <si>
    <t>When Soothing Mist heals an ally with Pixie Dust on them, they heal for an additional 228 (119 + 4% per level) over 4 seconds.</t>
  </si>
  <si>
    <t>Peekaboo!</t>
  </si>
  <si>
    <t>Phase Shifting to an ally reveals a large area around them and all enemies in it for 6 seconds.</t>
  </si>
  <si>
    <t>Mistified</t>
  </si>
  <si>
    <t>Reduces the cooldown of Soothing Mist by 0.5 second every time you cast a Basic Ability.</t>
  </si>
  <si>
    <t>Phase Shield</t>
  </si>
  <si>
    <t>After finishing the teleport, the target of your Phase Shift gains a 877 (416 + 4% per level) point Shield for 20 seconds.</t>
  </si>
  <si>
    <t>Cleanse</t>
  </si>
  <si>
    <t>Activate to make target ally Unstoppable for 1 second. Cannot be cast on yourself.</t>
  </si>
  <si>
    <t>Blink Heal</t>
  </si>
  <si>
    <t>Teleport to a nearby ally, healing them for 447 (213 + 4% per level). Can store 2 charges.</t>
  </si>
  <si>
    <t>Emerald Wind</t>
  </si>
  <si>
    <t>reate an expanding nova of wind, dealing 699 (332 + 4% per level) damage and pushing enemies away. Also passively increases the healing of Soothing Mist by 8%.</t>
  </si>
  <si>
    <t>Sticky Flare</t>
  </si>
  <si>
    <t>Targets are slowed by 40% Movement Speed for 2 seconds.</t>
  </si>
  <si>
    <t>Pixie Boost</t>
  </si>
  <si>
    <t>Pixie Dust gives 50% bonus Move Speed, decaying to 20% over 1.5 seconds.</t>
  </si>
  <si>
    <t>Shield Dust</t>
  </si>
  <si>
    <t>Pixie Dust reduces Ability damage taken by 40%.</t>
  </si>
  <si>
    <t>Ice Block</t>
  </si>
  <si>
    <t>Activate to place yourself in Stasis and gain Invulnerability for 3 seconds.</t>
  </si>
  <si>
    <t>Greater Polymorph</t>
  </si>
  <si>
    <t>Increases the duration of Polymorph by 0.75 second.</t>
  </si>
  <si>
    <t>Critterize</t>
  </si>
  <si>
    <t>Polymorph makes enemies Vulnerable, increasing the damage they take by 25%.</t>
  </si>
  <si>
    <t>Bouncy Dust</t>
  </si>
  <si>
    <t>Pixie Dust bounces to another nearby ally upon impact.</t>
  </si>
  <si>
    <t>Hardened Focus</t>
  </si>
  <si>
    <t>While above 80% life, your Basic Ability cooldowns regenerate 50% faster.</t>
  </si>
  <si>
    <t>Double Wyrmhole</t>
  </si>
  <si>
    <t>Blink Heal can be cast a second time on a different target within 2 seconds without consuming a charge.</t>
  </si>
  <si>
    <t>Continuous Winds</t>
  </si>
  <si>
    <t>Emerald Wind releases two additional novas that deal 25% damage.</t>
  </si>
  <si>
    <t>Revitalizing Mist</t>
  </si>
  <si>
    <t>Healing another Hero with Soothing Mist increases their healing received from Soothing Mist by 25% for 6 seconds. Stacks 3 times.</t>
  </si>
  <si>
    <t>Storm Shield</t>
  </si>
  <si>
    <t>Activate to give all nearby allied Heroes a Shield for 20% of their max Health for 3 seconds.</t>
  </si>
  <si>
    <t>Invigoration</t>
  </si>
  <si>
    <t>If Hamstring hits a Hero, half of the Mana cost is refunded and the cooldown is reduced by 1 second.</t>
  </si>
  <si>
    <t>Every 5 seconds, gain 75 Physical Armor against the next Hero Basic Attack, reducing the damage taken by 75%. Stores up to 2 charges.</t>
  </si>
  <si>
    <t>Chop Meat</t>
  </si>
  <si>
    <t>Hamstring does 100% more damage to Minions and Mercenaries.</t>
  </si>
  <si>
    <t>Abattoir</t>
  </si>
  <si>
    <t>Decreases the amount of Fresh Meat lost on death from 10 to 5. Once you complete the Fresh Meat quest, Heroes continue to drop Meat that grants Attack Damage. This bonus Meat is not lost on death.</t>
  </si>
  <si>
    <t>Flail Axe</t>
  </si>
  <si>
    <t>Increases the length of Hamstring by 40%.</t>
  </si>
  <si>
    <t>Unrelenting Pursuit</t>
  </si>
  <si>
    <t>Reduces the cooldown of Ruthless Onslaught by 33% upon impact.</t>
  </si>
  <si>
    <t>Cheap Shot</t>
  </si>
  <si>
    <t>Hamstring does 100% more damage to targets affected by a slow, root, or stun.</t>
  </si>
  <si>
    <t>Insatiable Blade</t>
  </si>
  <si>
    <t>Victuals</t>
  </si>
  <si>
    <t>Every time a nearby enemy minion dies, you regain 4% of your maximum Health.</t>
  </si>
  <si>
    <t>Meat Shield</t>
  </si>
  <si>
    <t>When Ruthless Onslaught impacts an enemy Hero, gain 50 Spell Armor for 2.5 seconds, reducing Ability damage taken by 50%.</t>
  </si>
  <si>
    <t>Furnace Blast</t>
  </si>
  <si>
    <t>After a 3 second delay, fire explodes around you dealing 1096 (520 + 4% per level) damage to enemies.Can be cast while using Ruthless Onslaught.</t>
  </si>
  <si>
    <t>Lamb to the Slaughter</t>
  </si>
  <si>
    <t>Throw a hitching post that attaches to the nearest enemy Hero after a 1 second delay. This deals 375 (178 + 4% per level) damage and causes the enemy to be chained to the post and Silenced for 3 seconds.</t>
  </si>
  <si>
    <t>Cleaver</t>
  </si>
  <si>
    <t>Basic Attack deal 35% of your Basic Attack Damage in an area around the target.</t>
  </si>
  <si>
    <t>Savage Charge</t>
  </si>
  <si>
    <t>Ruthless Onslaught deals bonus damage to Heroes equal to 10% of their maximum Health.</t>
  </si>
  <si>
    <t>Brutal Strike</t>
  </si>
  <si>
    <t>After using Hamstring, your next 3 Basic Attacks within 5 seconds deal an additional 15% damage.</t>
  </si>
  <si>
    <t>Crippling Slam</t>
  </si>
  <si>
    <t>Enraged</t>
  </si>
  <si>
    <t>Receiving damage that reduces you below 50% of your maximum Health causes you to become Enraged for 10 seconds. While Enraged, you gain 40% Attack Speed and 25 Armor, reducing damage taken by 25%.</t>
  </si>
  <si>
    <t>Blood Frenzy</t>
  </si>
  <si>
    <t>Basic Attacks against enemy Heroes increase your Attack and Movement Speed by 5% for 3 seconds, stacking up to 5 times.</t>
  </si>
  <si>
    <t>Fires of Hell</t>
  </si>
  <si>
    <t>Furnace Blast explodes a second time 3 seconds after the initial explosion.</t>
  </si>
  <si>
    <t>Slaughterhouse</t>
  </si>
  <si>
    <t>Lamb to the Slaughter now chains all enemy Heroes in range.</t>
  </si>
  <si>
    <t>Basic attacks deal 20% more damage and slow the target for 1 second.</t>
  </si>
  <si>
    <t>Accumulating Fire</t>
  </si>
  <si>
    <t>Quest: Everytime you set a Hero on fire with Breath of Fire, increase its damage over time by 2%, up to 60%. Reward: After igniting 30 Heroes, you gain Resistant for 1 second per Hero set on fire, reducing damage taken by 25%.</t>
  </si>
  <si>
    <t>Grounding Brew</t>
  </si>
  <si>
    <t>Fortifying Brew reduces all incoming Ability Damage by 30% while drinking.</t>
  </si>
  <si>
    <t>Freshest Ingredients</t>
  </si>
  <si>
    <t>Quest: Gathering a Regeneration Globe increases your Health Regeneration by 1 per second, up to 30. Reward: After gathering 30 Regeneration Globes, 50% of the Shield from Fortifying Brew persists indefinitely after drinking.</t>
  </si>
  <si>
    <t>Elusive Brawler</t>
  </si>
  <si>
    <t>Activate to evade enemy Basic Attacks for 2 seconds. Your Basic Attacks reduce this cooldown by 3 seconds.</t>
  </si>
  <si>
    <t>Deadly Strike</t>
  </si>
  <si>
    <t>Flying Kick no longer costs Brew. Additionally, its damage is increased by 100% while you have Shields from Fortifying Brew.</t>
  </si>
  <si>
    <t>Keg Toss</t>
  </si>
  <si>
    <t>Quest: Everytime Keg Smash hits a Hero, increase its damage by 3, up to 60. Reward: After hitting 20 Heroes, increase its range by 125% and gain an additional charge.</t>
  </si>
  <si>
    <t>Ring of Fire</t>
  </si>
  <si>
    <t>After using Breath of Fire, ignite in a fiery aura, dealing 114 (55 + 4% per level) damage every second to nearby enemies for 3 seconds.</t>
  </si>
  <si>
    <t>While at or below 50 Brew, gain 20% Movement Speed. While at or above 50 Brew, regenerate an additional 40 (19 + 4% per level) Health per second.</t>
  </si>
  <si>
    <t>Bolder Flavor</t>
  </si>
  <si>
    <t>Fortifying Brew instantly Shields you for 697 (331 + 4% per level). Additionally, Shields persists for 1 extra second after you stop drinking.</t>
  </si>
  <si>
    <t>Refreshing Elixir</t>
  </si>
  <si>
    <t>Increases regeneration effects and all healing received by 30%, or by 60% while drinking Fortifying Brew.</t>
  </si>
  <si>
    <t>Wandering Keg</t>
  </si>
  <si>
    <t>Roll around inside an Unstoppable barrel, dealing 130 (62 + 4% per level) damage to enemies in the way and knocking them back. Lasts for 5 seconds.</t>
  </si>
  <si>
    <t>Storm, Earth, Fire</t>
  </si>
  <si>
    <t>Split into three elemental spirits for 12.15 seconds, each with 75% of your maximum Health and a unique ability. If all three spirits are killed, Chen will die as well. Storm can grant your spirits Movement Speed. Earth can leap to an area and slow enemies. Fire can grant your spirits Attack Speed.</t>
  </si>
  <si>
    <t>Pressure Point</t>
  </si>
  <si>
    <t>A Touch of Honey</t>
  </si>
  <si>
    <t>Increase the slow from Keg Smash to 40%.</t>
  </si>
  <si>
    <t>Withering Flames</t>
  </si>
  <si>
    <t>Setting an enemy Hero on fire reduces their Ability Power by 25% for 3 seconds.</t>
  </si>
  <si>
    <t>Flying Leap</t>
  </si>
  <si>
    <t>Another Round</t>
  </si>
  <si>
    <t>After hitting an enemy Hero with Keg Smash, the cooldown of your next Basic Ability will be reduced by 3 seconds.</t>
  </si>
  <si>
    <t>Enough to Share</t>
  </si>
  <si>
    <t>Fortifying Brew also Shields nearby allied Heroes for 119 (57 + 4% per level) per second.</t>
  </si>
  <si>
    <t>Untapped Potential</t>
  </si>
  <si>
    <t>Wandering Keg increases Movement Speed by 25% and reduces damage taken by 50%.</t>
  </si>
  <si>
    <t>Elemental Conduit</t>
  </si>
  <si>
    <t>Purifying Brew</t>
  </si>
  <si>
    <t>The next Stun or Silence used against you has its duration reduced by 75% and resets the cooldown of Fortifying Brew. Can only trigger once every 10 seconds.</t>
  </si>
  <si>
    <t>Stormstout Secret Recipe</t>
  </si>
  <si>
    <t>Heal for 1.5% of your maximum Health every time your Basic Abilities hit an enemy Hero.</t>
  </si>
  <si>
    <t>Surging Dash</t>
  </si>
  <si>
    <t>Increases Surging Fist range and speed by 25%.</t>
  </si>
  <si>
    <t>Blazing Bulwark</t>
  </si>
  <si>
    <t>Consuming Blaze grants you ??? stack of Block when you hit an enemy Hero, up to 10. Block reduces damage taken from enemy Basic Attacks by 50%.</t>
  </si>
  <si>
    <t>Fuel for the Flame</t>
  </si>
  <si>
    <t>Gathering a Regeneration Globe increases your next Consuming Blaze heal by 50%.</t>
  </si>
  <si>
    <t>Runed Gauntlet</t>
  </si>
  <si>
    <t>Rune Bomb increases your next Basic Attack by 75%.</t>
  </si>
  <si>
    <t>Rollback</t>
  </si>
  <si>
    <t>Rune Bomb now returns to you, damaging enemies in its path.</t>
  </si>
  <si>
    <t>Seared Flesh</t>
  </si>
  <si>
    <t>Every third consecutive Basic Attack against the same target deals 75% bonus damage.</t>
  </si>
  <si>
    <t>Power Surge</t>
  </si>
  <si>
    <t>Reduces the initial delay of Surging Fist by 50% and it is 100% wider.</t>
  </si>
  <si>
    <t>Fire Eater</t>
  </si>
  <si>
    <t>Basic Attacks against targets inflicted with Consuming Blaze heal you for 50% of the damage dealt.</t>
  </si>
  <si>
    <t>I AM Hurrying!</t>
  </si>
  <si>
    <t>Hammer of Twilight</t>
  </si>
  <si>
    <t>Passively increases Basic Attack damage by 25%. Activate to swing the Hammer to deal 377 (164 + 4.5% per level) damage, push enemies away, and stun for 0.75 seconds.</t>
  </si>
  <si>
    <t>Upheaval</t>
  </si>
  <si>
    <t>After 1 second pull enemies towards your direction, slowing them by 25% for 3 seconds and dealing 220 (104 + 4% per level) damage.</t>
  </si>
  <si>
    <t>Runic Feedback</t>
  </si>
  <si>
    <t>Surge of Stamina</t>
  </si>
  <si>
    <t>After using Surging Fist, the duration of silences, stuns, slows, roots, and polymorphs applied to you are reduced by 50% for 5 seconds.</t>
  </si>
  <si>
    <t>Molten Block</t>
  </si>
  <si>
    <t>Activate to place yourself in Stasis and gain Invulnerability for 3 seconds, damaging nearby enemies for 202 (96 + 4% per level) damage per second.</t>
  </si>
  <si>
    <t>Twilight Veil</t>
  </si>
  <si>
    <t>Consuming Blaze reduces damage taken from Abilities by 50% for 2 seconds per enemy Hero hit.</t>
  </si>
  <si>
    <t>Frenzied Fists</t>
  </si>
  <si>
    <t>If Surging Fist hits an enemy Hero, your Attack Speed is increased by 100% for 4 seconds.</t>
  </si>
  <si>
    <t>Crippling Blow</t>
  </si>
  <si>
    <t>Enemies hit by Surging Fist are slowed by 90% for 1.25 seconds.</t>
  </si>
  <si>
    <t>Your Basic Attack becomes ranged and slows targets by 20% for 2 seconds.</t>
  </si>
  <si>
    <t>Favor of the Old Gods</t>
  </si>
  <si>
    <t>Upheaval grants you Resistant, reducing your damage taken by 50% for 5 seconds.</t>
  </si>
  <si>
    <t>The Will Of Gall</t>
  </si>
  <si>
    <t>Gall can activate Will of Gall to make you Unstoppable for 2 seconds.</t>
  </si>
  <si>
    <t>Compounding Aether</t>
  </si>
  <si>
    <t>Deep Breathing</t>
  </si>
  <si>
    <t>Piercing Sands</t>
  </si>
  <si>
    <t>Sand Blast will now hit the first two Heroes in its path.</t>
  </si>
  <si>
    <t>Bronze Talons</t>
  </si>
  <si>
    <t>Increases your Basic Attack range by 35%. Using Sand Blast increases the damage of your next Basic Attack by 250%.</t>
  </si>
  <si>
    <t>Enveloping Assault</t>
  </si>
  <si>
    <t>Mobius Loop</t>
  </si>
  <si>
    <t>Chrono Sickness</t>
  </si>
  <si>
    <t>Slowing Sands</t>
  </si>
  <si>
    <t>Place a sand vortex that greatly slows enemies inside it. The longer it is active the more it slows, up to 50% after 5 seconds.</t>
  </si>
  <si>
    <t>Temporal Loop</t>
  </si>
  <si>
    <t>Choose an enemy Hero. After 3 seconds, they will teleport back to the location where you cast Temporal Loop on them.</t>
  </si>
  <si>
    <t>Bye Bye!</t>
  </si>
  <si>
    <t>Reduces the cast time of your Hearthstone by 75%, and it is not interrupted by taking damage.</t>
  </si>
  <si>
    <t>Reaching through Time</t>
  </si>
  <si>
    <t>Time Out</t>
  </si>
  <si>
    <t>Activate to place yourself in Stasis and gain Invulnerability for up to 7 seconds. Can be reactivated to end the effect early.</t>
  </si>
  <si>
    <t>Shifting Sands</t>
  </si>
  <si>
    <t>Hitting an enemy Hero with Sand Blast increases your Ability Power by 8% for the next 10 seconds. This bonus can be stacked up to 40%, and the duration is refreshed whenever you damage enemy Heroes with Sand Blast.</t>
  </si>
  <si>
    <t>Fast Forward</t>
  </si>
  <si>
    <t>If Sand Blast travels at least 75% of its base distance and hits a Hero, its cooldown is reduced to 0.75 seconds.</t>
  </si>
  <si>
    <t>Quantum Overdrive</t>
  </si>
  <si>
    <t>Activate to increase Ability Power by 20% for 10 seconds.</t>
  </si>
  <si>
    <t>Pocket of Time</t>
  </si>
  <si>
    <t>Removes Slowing Sands Mana cost and increases the slow from 50% to 80%.</t>
  </si>
  <si>
    <t>Loophole</t>
  </si>
  <si>
    <t>Temporal Loop hits all enemy Heroes near your initial target.</t>
  </si>
  <si>
    <t>Past and Future Me</t>
  </si>
  <si>
    <t>After casting Sand Blast, leave an echo of yourself behind. The next time you cast Sand Blast, the echo also casts an untalented Sand Blast that does 40% damage.</t>
  </si>
  <si>
    <t>Andorhal Anomaly</t>
  </si>
  <si>
    <t>You gain 3 charges of Time Trap, and can have 3 active at once. When your cooldown finishes, you gain 3 charges at once.</t>
  </si>
  <si>
    <t>Reward: After hitting 25 Heroes with Sand Blast increase its damage by 100.</t>
  </si>
  <si>
    <t>Activate to reveal a targeted area for 2 Seconds. Enemies are revealed for 4 Seconds. Quest: Gathering a Regeneration Globe increases your Mana Regeneration by 0.1, up to 1.5. Reward: After gathering 15 Globes you also gain 5% Ability Power.</t>
  </si>
  <si>
    <t>Enduring Swarm</t>
  </si>
  <si>
    <t>While active, Dark Swarm reduces damage taken from Spells by 60%.</t>
  </si>
  <si>
    <t>Primal Aggression</t>
  </si>
  <si>
    <t>Dark Swarm duration increased by 0.5 seconds and it deals 90% bonus damage to Minions and Mercenaries.</t>
  </si>
  <si>
    <t>Enhanced Agility</t>
  </si>
  <si>
    <t>Tissue Regeneration</t>
  </si>
  <si>
    <t>Lurker Strain</t>
  </si>
  <si>
    <t>Burrow grants Stealth for 3 seconds. Emerging from Burrow knocks nearby enemies back and slows them by 30% for 2 seconds.</t>
  </si>
  <si>
    <t>One-Who-Collects</t>
  </si>
  <si>
    <t>Increases Essence collected from Minions by 50%.</t>
  </si>
  <si>
    <t>Hero Stalker</t>
  </si>
  <si>
    <t>Increases Essence gained from Takedowns by 100%.</t>
  </si>
  <si>
    <t>Feeding Frenzy</t>
  </si>
  <si>
    <t>Constriction</t>
  </si>
  <si>
    <t>Increases Drag duration by 0.5 seconds.</t>
  </si>
  <si>
    <t>Symbiosis</t>
  </si>
  <si>
    <t>Every time Dark Swarm damages an enemy Hero, reduce its cooldown by 0.4 seconds.</t>
  </si>
  <si>
    <t>Essence Devourer</t>
  </si>
  <si>
    <t>Isolation</t>
  </si>
  <si>
    <t>Launch biomass that hits the first enemy Hero dealing 439 (208 + 4% per level) damage, silencing and slowing them 30% for 3 seconds. Only allows them to see a very short distance for 6 seconds.</t>
  </si>
  <si>
    <t>Adaptation</t>
  </si>
  <si>
    <t>After 5 seconds, heal for 60% of the damage you took over this period.</t>
  </si>
  <si>
    <t>Swift Pursuit</t>
  </si>
  <si>
    <t>Ferocious Stalker</t>
  </si>
  <si>
    <t>After using Brushstalker, increase all damage you deal by 25% for 10 seconds.</t>
  </si>
  <si>
    <t>Primal Swarm</t>
  </si>
  <si>
    <t>Dark Swarm causes enemies hit to take 10% extra damage for 0.75 seconds.</t>
  </si>
  <si>
    <t>Paralyzing Enzymes</t>
  </si>
  <si>
    <t>Drag slows enemies by 50% for 2 seconds after it ends.</t>
  </si>
  <si>
    <t>Elongated Tongue</t>
  </si>
  <si>
    <t>Increase Drag range by 20%.</t>
  </si>
  <si>
    <t>Tunneling Claws</t>
  </si>
  <si>
    <t>You can move while Burrowed</t>
  </si>
  <si>
    <t>Contagion</t>
  </si>
  <si>
    <t>Isolation hits all Heroes near the first target.</t>
  </si>
  <si>
    <t>Change Is Survival</t>
  </si>
  <si>
    <t>Increases Adaptation healing to 200% of the damage received.</t>
  </si>
  <si>
    <t>Apex Predator</t>
  </si>
  <si>
    <t>Essence Claws</t>
  </si>
  <si>
    <t>Your Basic Attacks slow the target by 20% for 1 second. If the target is a Hero, you gain 5 Essence.</t>
  </si>
  <si>
    <t>Quest: Each time you collect 50 Essence, permanently increase your Movement Speed by 1%, up to 10%.</t>
  </si>
  <si>
    <t>Quest: Each time you collect 50 Essence, permanently increase your Health Regeneration by 5, up to 50.</t>
  </si>
  <si>
    <t>Quest: Gathering Regeneration Globes grant 10 Essence and increase your maximum Essence by 1, to a maximum of 10 increased Essence. Reward: After collecting 10 Regeneration Globes, the amount of Essence you gain from Regeneration Globes is increased to 15.</t>
  </si>
  <si>
    <t>Bulwark</t>
  </si>
  <si>
    <t>Increase the duration of Shadow Charge’s Resistance effect from 2 to 5 seconds.</t>
  </si>
  <si>
    <t>Regeneration Globes and Healing Fountains are 2% more effective for every stack of Black Soulstone.</t>
  </si>
  <si>
    <t>Life Leech</t>
  </si>
  <si>
    <t>From the Shadows</t>
  </si>
  <si>
    <t>Enemies knocked against unpathable locations are stunned for an additional 0.5 seconds.</t>
  </si>
  <si>
    <t>Speed Demon</t>
  </si>
  <si>
    <t>Diablo gains 30% Movement Speed for 5 seconds after being Stunned or Rooted.</t>
  </si>
  <si>
    <t>Demonic Strength</t>
  </si>
  <si>
    <t>Soul Feast</t>
  </si>
  <si>
    <t>Each Soulstone stack grants 0.4 Health Regeneration per second.</t>
  </si>
  <si>
    <t>Soul Shield</t>
  </si>
  <si>
    <t>Each Black Soulstone stack Diablo has grants him 0.35% Resistance to enemy Abilities.</t>
  </si>
  <si>
    <t>Diabolical Momentum</t>
  </si>
  <si>
    <t>Basic Attacks lower the cooldown of Shadow Charge and Overpower by 1.5 seconds.</t>
  </si>
  <si>
    <t>Apocalypse</t>
  </si>
  <si>
    <t>Create a demonic rune under each enemy Hero on the battleground. After 1.75 seconds the rune explodes dealing 137 damage and stunning for 2 seconds.</t>
  </si>
  <si>
    <t>Lightning Breath</t>
  </si>
  <si>
    <t>Become Unstoppable while channeling lightning that deals 800 damage over 4 seconds. The direction of the Lightning changes with your mouse cursor position.</t>
  </si>
  <si>
    <t>Devastating Charge</t>
  </si>
  <si>
    <t>Fire Devil</t>
  </si>
  <si>
    <t>Fire Stomp increases your Basic Attack damage by 25% and surrounds you in flames that deal 20 damage every second for 6 seconds.</t>
  </si>
  <si>
    <t>Hellfire</t>
  </si>
  <si>
    <t>Each enemy Hero hit by Fire Stomp increases the damage of the next Fire Stomp by 10%, stacking up to 100%.</t>
  </si>
  <si>
    <t>Debilitating Flames</t>
  </si>
  <si>
    <t>Enemy Heroes hit by Fire Stomp are slowed by 15% for 2 seconds, up to 30%.</t>
  </si>
  <si>
    <t>Domination</t>
  </si>
  <si>
    <t>Reduces the cooldown of Overpower by 4 seconds. Casting Overpower resets the cooldown of Shadow Charge.</t>
  </si>
  <si>
    <t>Fearful Presence</t>
  </si>
  <si>
    <t>Dying Breath</t>
  </si>
  <si>
    <t>Hellstorm</t>
  </si>
  <si>
    <t>Lightning Breath lasts and reaches 50% longer.</t>
  </si>
  <si>
    <t>Lord of Terror</t>
  </si>
  <si>
    <t>Activate to steal 10% of the maximum Health of nearby enemy Heroes.</t>
  </si>
  <si>
    <t>Hellgate</t>
  </si>
  <si>
    <t>Activate to teleport a short distance and place a Demonic Rune at that location. After 1.75 seconds the rune explodes dealing 137 damage and stuns enemies for 1.75 seconds.</t>
  </si>
  <si>
    <t>Shadow Charging an enemy into unpathable terrain deals an additional 5% of that targets max Health in damage. Quest: Every time you charge an enemy into unpathable terrain, increase the bonus damage by 2%, stacking up to a 10% bonus (15% max health possible)</t>
  </si>
  <si>
    <t>Activate to reduce the damage dealt by nearby enemy Heroes by 30% for 3 seconds. Passive: Heroes and Summons that attack Diablo have their Attack Speed slowed by 20% for 2.5 seconds.</t>
  </si>
  <si>
    <t>Guitar Hero</t>
  </si>
  <si>
    <t>While Guitar Solo is active, you heal for 30% of the damage dealt by Basic Attacks. Also increases the Attack Speed bonus of Rockstar by 5%.</t>
  </si>
  <si>
    <t>Prog Rock</t>
  </si>
  <si>
    <t>Quest: Gathering a Regeneration Globe permanently increases the healing per second of Guitar Solo by 5, to a maximum of 100. Reward: After reaching 100 increased healing, Guitar Solar also helas nearby allied Heroes for 117 (56 + 4% per level) Health every second while it is active.</t>
  </si>
  <si>
    <t>Block Party</t>
  </si>
  <si>
    <t>Rockstar also grants allies a stack of Block, reducing the damage they take from the next Basic Attack by 50% for 8 seconds. Stacks up to 2 times.</t>
  </si>
  <si>
    <t>Crowd Surfer</t>
  </si>
  <si>
    <t>Allows Powerslide to travel over walls and terrain.</t>
  </si>
  <si>
    <t>Loud Speakers</t>
  </si>
  <si>
    <t>Increases Face Melt range and knockback by 50%.</t>
  </si>
  <si>
    <t>Speed Metal</t>
  </si>
  <si>
    <t>Rockstar also gives 20% Movement Speed for 2 seconds.</t>
  </si>
  <si>
    <t>Pinball Wizard</t>
  </si>
  <si>
    <t>Face Melt does 150% more damage to enemies recently affected by Powerslide.</t>
  </si>
  <si>
    <t>Echo Pedal</t>
  </si>
  <si>
    <t>Using a Basic or Heroic ability releases two pulses of 71 (34 + 4% per level) damage. This deals 100% bonus damage to Minions and Mercenaries. The first occurs instantly, the second occurs 2 seconds later.</t>
  </si>
  <si>
    <t>Hammer-on</t>
  </si>
  <si>
    <t>After using an Ability, your next 2 Basic Attacks deal 30% more damage.</t>
  </si>
  <si>
    <t>Mosh Pit</t>
  </si>
  <si>
    <t>After 0.75 seconds, channel to stun nearby enemies for 4 seconds.</t>
  </si>
  <si>
    <t>Stage Dive</t>
  </si>
  <si>
    <t>Leap to target location, landing after 2.75 seconds, dealing 724 (330 + 4% per level) damage to enemies in the area, and slowing them by 50% for 3 seconds.</t>
  </si>
  <si>
    <t>Mic Check</t>
  </si>
  <si>
    <t>Hitting at least 2 targets with Face Melt reduces its cooldown by 5 seconds.</t>
  </si>
  <si>
    <t>Encore</t>
  </si>
  <si>
    <t>Face Melt leaves an Amp behind, which will knock enemies away again 2 seconds later.</t>
  </si>
  <si>
    <t>Face Smelt</t>
  </si>
  <si>
    <t>Face Melt slows enemies by 60% fading over 2 seconds.</t>
  </si>
  <si>
    <t>Show Stopper</t>
  </si>
  <si>
    <t>Reduces all damage taken by 25% for 4 seconds after using Powerslide.</t>
  </si>
  <si>
    <t>Aggressive Shredding</t>
  </si>
  <si>
    <t>Your Basic Attacks reduce the cooldown of Guitar Solo by 1 second.</t>
  </si>
  <si>
    <t>Imposing Presence</t>
  </si>
  <si>
    <t>Heroes and Summons that attacks you have their Attack Speed slowed by 20% for 2.5 seconds. Activate to slow the Attack Speed by 50% and Movement Speed by 20% of nearby Heroes and Summons for 2.5 seconds.</t>
  </si>
  <si>
    <t>Tour Bus</t>
  </si>
  <si>
    <t>Mosh Pit refreshes the cooldown of Powerslide. You can Powerslide during Mosh Pit, which also increases its duration by 2 seconds.</t>
  </si>
  <si>
    <t>Crowd Pleaser</t>
  </si>
  <si>
    <t>Death Metal</t>
  </si>
  <si>
    <t>Upon dying, a ghost uses Mosh Pit at your location.</t>
  </si>
  <si>
    <t>Gathering Storm</t>
  </si>
  <si>
    <t>Wingman</t>
  </si>
  <si>
    <t>Enemy Minions killed near you grant a stack of Bribe. Use 20 stacks to bribe a Mercenary, instantly defeating them and permenantly increasing the damage of Lightning Rod by 5%. Does not work on Bosses. Maximum of 80 stacks.</t>
  </si>
  <si>
    <t>Static Shield</t>
  </si>
  <si>
    <t>Gain a Shield equal to 4% of your maximum Health after every Lightning Rod strike. Lasts 4 seconds and stacks.</t>
  </si>
  <si>
    <t>Updraft</t>
  </si>
  <si>
    <t>Hammer Gains</t>
  </si>
  <si>
    <t>Basic Attacks heal for 20% of the damage dealt to the primary target.</t>
  </si>
  <si>
    <t>Secret Weapon</t>
  </si>
  <si>
    <t>BOOMerang</t>
  </si>
  <si>
    <t>Reactivate Hammerang mid-flight to deal 384 (182 + 4% per level) damage around the Hammer.</t>
  </si>
  <si>
    <t>Charged Up</t>
  </si>
  <si>
    <t>Increases the number of Lightning Rod strikes by 2 and its range by 25%.</t>
  </si>
  <si>
    <t>Hinterland Blast</t>
  </si>
  <si>
    <t>After a short delay, deal 901 (428 + 4% per level) damage to enemies within a long line.</t>
  </si>
  <si>
    <t>Mighty Gust</t>
  </si>
  <si>
    <t>Push enemies away, and slow their Movement Speed by 40% decaying over 4 seconds.</t>
  </si>
  <si>
    <t>Thunderstrikes</t>
  </si>
  <si>
    <t>Lightning Rod deals 20% more damage each subsequent strike.</t>
  </si>
  <si>
    <t>Flow Rider</t>
  </si>
  <si>
    <t>While Tailwind is active, your Basic Abilities recharge 100% faster.</t>
  </si>
  <si>
    <t>Giant Killer</t>
  </si>
  <si>
    <t>Crippling Hammer</t>
  </si>
  <si>
    <t>Aerie Gusts</t>
  </si>
  <si>
    <t>Reduces the activation time for Tailwind from 6 to 3 seconds, and increase the Movement Speed bonus from 15% to 25%.</t>
  </si>
  <si>
    <t>Afterburner</t>
  </si>
  <si>
    <t>Barrel Roll increases your Movement Speed by 60%, decaying over 3 seconds.</t>
  </si>
  <si>
    <t>Call of the Wildhammer</t>
  </si>
  <si>
    <t>Hinterland Blast has double the range and deals 25% more damage.</t>
  </si>
  <si>
    <t>Wind Tunnel</t>
  </si>
  <si>
    <t>Mighty Gust creates a wind tunnel for 4 seconds. Enemies caught in the tunnel will periodically be pushed back.</t>
  </si>
  <si>
    <t>Nexus Frenzy</t>
  </si>
  <si>
    <t>Increases Attack Speed by 20% and Attack Range by 20%.</t>
  </si>
  <si>
    <t>Epic Mount</t>
  </si>
  <si>
    <t>Reduce the cooldown of Flight to 30 seconds, reduce the cast time before flying to 0.5 seconds, and increase the speed by 50%.</t>
  </si>
  <si>
    <t>Quest: Every time Hammerang hits a Hero increase its damage by 1.5. Reward: None</t>
  </si>
  <si>
    <t>Quest: Every Minion killed near you grants 0.2 Attack Damage, and Takedowns grant 0.5 Attack Damage. Reward: Upon gaining 40 bonus Attack Damage, you can also activate Seasoned Marksman to increase your Attack Speed by 40% for 3 seconds.</t>
  </si>
  <si>
    <t>Spurred Onward</t>
  </si>
  <si>
    <t>Increase the Initial speed boost of Hurry Up, Oaf! to 70%. Hurry Up, Oaf! cooldown reduced by 2 seconds when hitting an enemy Hero with an Ability.</t>
  </si>
  <si>
    <t>Shove</t>
  </si>
  <si>
    <t>Eye of Kilrogg</t>
  </si>
  <si>
    <t>Place an eye, granting vision of a large area around it for 45 seconds. The eye can be killed by enemies with 2 Basic Attacks. Stores up to 4 charges.</t>
  </si>
  <si>
    <t>Runic Persistence</t>
  </si>
  <si>
    <t>Using Runic Blast no longer destroys Rune Bomb.</t>
  </si>
  <si>
    <t>Double Back</t>
  </si>
  <si>
    <t>Edge of Madness</t>
  </si>
  <si>
    <t>Increases Shadowflame damage by 20% against nearby targets, and 10% to mid-range targets. Distant targets take normal damage.</t>
  </si>
  <si>
    <t>Double Trouble</t>
  </si>
  <si>
    <t>Dark Descent</t>
  </si>
  <si>
    <t>Shadow Bolt Volley</t>
  </si>
  <si>
    <t>After 1 second, unleash 19.375 Shadow Bolts over 3.875 seconds, each dealing 103 damage to the first target hit. The bolts fire towards your mouse.</t>
  </si>
  <si>
    <t>Twisting Nether</t>
  </si>
  <si>
    <t>After 1 second, nearby enemies are slowed by 40% while you channel, up to 5 seconds. Activate to deal 342 damage.</t>
  </si>
  <si>
    <t>Rising Dread</t>
  </si>
  <si>
    <t>Dread Orb does 25% more damage on the second bounce and 75% more damage the third bounce.</t>
  </si>
  <si>
    <t>Speed of Twilight</t>
  </si>
  <si>
    <t>When Dread Orb hits an enemy Hero, gain 30% Movement Speed for 5 seconds.</t>
  </si>
  <si>
    <t>Dread Shield</t>
  </si>
  <si>
    <t>When Dread Orb hits an enemy Hero, gain a Shield absorbing 561 damage for 5 seconds.</t>
  </si>
  <si>
    <t>Twilight Nova</t>
  </si>
  <si>
    <t>After the first bounce, 2 extra bombs bounce to the sides once.</t>
  </si>
  <si>
    <t>Giant Scorcher</t>
  </si>
  <si>
    <t>Shadowflare</t>
  </si>
  <si>
    <t>Shadowfury</t>
  </si>
  <si>
    <t>Shadow Bolt Volley hits all enemies in its path.</t>
  </si>
  <si>
    <t>The Nether Calls</t>
  </si>
  <si>
    <t>Psychotic Break</t>
  </si>
  <si>
    <t>Increases your Ability Damage by 5%. Upon dying, the cooldown on your Heroic Ability is reset and you can continue to use Abilities for 10 seconds.</t>
  </si>
  <si>
    <t>Nudge Cho a small distance in the direction you choose.</t>
  </si>
  <si>
    <t>Extra TNT</t>
  </si>
  <si>
    <t>Increases Xplodium Charge damage by 10% per target hit, up to 100%.</t>
  </si>
  <si>
    <t>Scrap-o-Matic Smelter</t>
  </si>
  <si>
    <t>Increases the Mana restored from Scrap by 100%.</t>
  </si>
  <si>
    <t>Break it Down!</t>
  </si>
  <si>
    <t>Scrap causes Abilities to cooldown four times as fast for 3 seconds.</t>
  </si>
  <si>
    <t>Clockwerk Steam Fists</t>
  </si>
  <si>
    <t>Ark Reaktor</t>
  </si>
  <si>
    <t>Reduce, Reuse, Recycle</t>
  </si>
  <si>
    <t>Enemy Minions that die near you have a 15% chance to drop Scrap.</t>
  </si>
  <si>
    <t>Mercenary Lord</t>
  </si>
  <si>
    <t>Friendly Non-Boss Mercenaries near your hero deal 50% more damage. Gain 50 Armor against Minions and Mercenaries, reducing the damage taken by 50%.</t>
  </si>
  <si>
    <t>Rock-It! Turret XL</t>
  </si>
  <si>
    <t>Rock-It! Turrets attack up to 2 additonal enemies for 60% damage.</t>
  </si>
  <si>
    <t>Engine Gunk</t>
  </si>
  <si>
    <t>Rock-It! Turret attacks slow enemies by 25% for 2 seconds.</t>
  </si>
  <si>
    <t>Hyperfocus Coils</t>
  </si>
  <si>
    <t>Deth Lazor charges twice as fast.</t>
  </si>
  <si>
    <t>Robo-Goblin</t>
  </si>
  <si>
    <t>Basic Attacks deal an additional 150% damage to Minions, Mercenaries, and Structures.</t>
  </si>
  <si>
    <t>Grav-O-Bomb 3000</t>
  </si>
  <si>
    <t>After a 2 second delay, pull enemies toward the center of an area and deal 550 (262 + 4% per level) damage.</t>
  </si>
  <si>
    <t>Turret Storage</t>
  </si>
  <si>
    <t>Increases Rock-It! Turret maximum charges from 2 to 3.</t>
  </si>
  <si>
    <t>EZ-PZ Dimensional Ripper</t>
  </si>
  <si>
    <t>Deth Lazor slows Heroes by 40% and freezes non-Heroes for 3 seconds.</t>
  </si>
  <si>
    <t>X-Tra Large Bombs</t>
  </si>
  <si>
    <t>Increases Xplodium Charge range and radius by 30%.</t>
  </si>
  <si>
    <t>Sprint</t>
  </si>
  <si>
    <t>Activate to gain 75% Movement Speed for 3 seconds.</t>
  </si>
  <si>
    <t>Superior Schematics</t>
  </si>
  <si>
    <t>Increase Rock-It! Turrets damage by 25% when you are within their attack range.</t>
  </si>
  <si>
    <t>Goblin Fusion</t>
  </si>
  <si>
    <t>Deth Lazor can be charged for 1 additional second to increase its damage bonus by an additional 100%.</t>
  </si>
  <si>
    <t>Kwik Release Charge</t>
  </si>
  <si>
    <t>Xplodium Charge gains a second charge.</t>
  </si>
  <si>
    <t>Mecha-Lord</t>
  </si>
  <si>
    <t>Basic attacks deal 200% damage to Heroes.</t>
  </si>
  <si>
    <t>Miniature Black Hole</t>
  </si>
  <si>
    <t>Grav-O-Bomb radius increased by 25% and damage increased by 50%.</t>
  </si>
  <si>
    <t>Firing Deth Lazor causes all of your Rock-It! Turrets to fire a Deth Lazor of their own that deals 301 (143 + 4% per level) damage.</t>
  </si>
  <si>
    <t>Activate to create 5 Scrap near you over 5 seconds.</t>
  </si>
  <si>
    <t>Quest: Gathering a Regeneration Globe increases your Health Regeneration by 1 per second, up to 30. Reward: After gathering 30 Regeneration Globes, you also gain 500 Health.</t>
  </si>
  <si>
    <t>Wolfheart</t>
  </si>
  <si>
    <t>While Inner Beast is active, each Basic Attack lowers its cooldown by 0.8 seconds.</t>
  </si>
  <si>
    <t>Perfect Aim</t>
  </si>
  <si>
    <t>Viciousness</t>
  </si>
  <si>
    <t>Thick Skin</t>
  </si>
  <si>
    <t>Eyes in the Dark</t>
  </si>
  <si>
    <t>Disengage grants Stealth for 3 seconds.</t>
  </si>
  <si>
    <t>Insatiable</t>
  </si>
  <si>
    <t>Inner Beast causes Basic Attacks to restore 10 Mana, up to 140.</t>
  </si>
  <si>
    <t>Draught Overflow</t>
  </si>
  <si>
    <t>Quicksilver Bullets</t>
  </si>
  <si>
    <t>Incendiary Elixir</t>
  </si>
  <si>
    <t>Wizened Duelist</t>
  </si>
  <si>
    <t>Go for the Throat</t>
  </si>
  <si>
    <t>Marked for the Kill</t>
  </si>
  <si>
    <t>Running Wild</t>
  </si>
  <si>
    <t>Visceral Attacks</t>
  </si>
  <si>
    <t>On the Prowl</t>
  </si>
  <si>
    <t>Inner Beast increases your Movement Speed by 30% once it has been active for 3 seconds.</t>
  </si>
  <si>
    <t>Unfettered Assault</t>
  </si>
  <si>
    <t>Eager Wolf</t>
  </si>
  <si>
    <t>Increases the Attack Speed bonus of Inner Beast by an additional 40% after it has been active for 4 seconds.</t>
  </si>
  <si>
    <t>Executioner</t>
  </si>
  <si>
    <t>Attacking a Hero that is slowed, rooted, or stunned increases your Basic Attack damage by 30% for 3 seconds.</t>
  </si>
  <si>
    <t>Alpha Killer</t>
  </si>
  <si>
    <t>Unleashed</t>
  </si>
  <si>
    <t>If the free cast of Go for the Throat kills its target, another free cast is provided that deals 35% more damage, up to 140%.</t>
  </si>
  <si>
    <t>Gilnean Roulette</t>
  </si>
  <si>
    <t>Tooth and Claw</t>
  </si>
  <si>
    <t>Quest: Hero takedowns increase Basic Attack damage by 3%, to a maximum of 30%. This bonus is lost on death. Reward: None</t>
  </si>
  <si>
    <t>Quest: Every time you hit an enemy Hero with the explosion damage from Gilnean Cocktail increase its explosion damage by 15, up to 225. Reward: After hitting 15 Heroes, the cooldown is also reduced by 4 seconds.</t>
  </si>
  <si>
    <t>Using Darkflight grants 50 Physical Armor against the next 2 Hero Basic Attacks while in Worgen Form, reducing the damage taken by 50%</t>
  </si>
  <si>
    <t>Increases Human Basic Attack range by 20%.</t>
  </si>
  <si>
    <t>Leap at an enemy Hero and shapeshift into a Worgen, slashing for 921 (437 + 4% per level) total damage. If this kills them, the Ability can be used a second time within 10 seconds for free.</t>
  </si>
  <si>
    <t>Shapeshift into a Human and fire a shot hitting the first enemy Hero in its path for 149 (71 + 4% per level) damage. For 5 seconds, their Armor is lowered by 25, taking 25% more damage. Each time Greymane damages the Marked Hero, the duration is refreshed.</t>
  </si>
  <si>
    <t>Human Basic Attacks splash for 100% damage behind the target.</t>
  </si>
  <si>
    <t>Worgen Basic Attacks cleave for 100% damage.</t>
  </si>
  <si>
    <t>Quest: Basic Attacks increase the duration of active Rock-It! Turrets by 2 seconds. Reward: After increasing turret duration by 600 total seconds, reduce the charge cooldown of Rock-It! Turret by 3 seconds.</t>
  </si>
  <si>
    <t>Pursuit of Flame</t>
  </si>
  <si>
    <t>Glyph of Drain Life</t>
  </si>
  <si>
    <t>Increases the cast range of Drain Life by 25%.</t>
  </si>
  <si>
    <t>Echoed Corruption</t>
  </si>
  <si>
    <t>Chaotic Energy</t>
  </si>
  <si>
    <t>Health Funnel</t>
  </si>
  <si>
    <t>If an enemy dies while under the effect of Drain Life, the cooldown is instantly refreshed.</t>
  </si>
  <si>
    <t>Improved Life Tap</t>
  </si>
  <si>
    <t>Life Tap now restores 35% Mana.</t>
  </si>
  <si>
    <t>Consume Soul</t>
  </si>
  <si>
    <t>Instantly kill an enemy Minion and heal for 800 (380 + 4% per level) Health. Stores 2 charges.</t>
  </si>
  <si>
    <t>Bound by Shadow</t>
  </si>
  <si>
    <t>Each enemy Hero hit with Fel Flame reduces the cooldown of Corruption by 1 second.</t>
  </si>
  <si>
    <t>Devour the Frail</t>
  </si>
  <si>
    <t>Drain Life deals 50% more damage to enemies below 50% Health.</t>
  </si>
  <si>
    <t>Curse of Exhaustion</t>
  </si>
  <si>
    <t>Upon expiration, Corruption slows enemy Movement Speed by 50% for 2.5 seconds.</t>
  </si>
  <si>
    <t>Hunger for Power</t>
  </si>
  <si>
    <t>Increases Ability Power by 15% but reduces healing received from allies by 25%.</t>
  </si>
  <si>
    <t>Horrify</t>
  </si>
  <si>
    <t>After a short delay, deal 263 (125 + 4% per level) damage and fear enemy Heroes in the area for 2 seconds.</t>
  </si>
  <si>
    <t>Rain of Destruction</t>
  </si>
  <si>
    <t>Summon a rain of meteors in an area for 7 seconds. Each meteor deals 362 (172 + 4% per level) damage in a small area.</t>
  </si>
  <si>
    <t>Fel Armor</t>
  </si>
  <si>
    <t>Hitting an enemy Hero with Fel Flame grants 40 Spell Armor for 2.5 seconds, reducing Ability Damage taken by 40%.</t>
  </si>
  <si>
    <t>Harvest Life</t>
  </si>
  <si>
    <t>Drain Life heals for 50% more Health when used on Heroes.</t>
  </si>
  <si>
    <t>Dark Bargain</t>
  </si>
  <si>
    <t>Your maximum Health is permanently increased by 25% but your Death Respawn time is increased by 15 seconds.</t>
  </si>
  <si>
    <t>Healthstone</t>
  </si>
  <si>
    <t>Activate to heal for 25% of your maximum Health.</t>
  </si>
  <si>
    <t>Rampant Hellfire</t>
  </si>
  <si>
    <t>Ruinous Affliction</t>
  </si>
  <si>
    <t>Corruption deals an additional 171 (82 + 4% per level) damage on impact. If the enemy is hit by all three strikes, the third strike deals 511 (243 + 4% per level) damage.</t>
  </si>
  <si>
    <t>Darkness Within</t>
  </si>
  <si>
    <t>After using Life Tap, the next ability you cast has 25% increased Ability Power.</t>
  </si>
  <si>
    <t>Haunt</t>
  </si>
  <si>
    <t>Increases the duration of Horrify by 1 second and feared enemies lose 25 Armor, causing them to take 25% increased damage.</t>
  </si>
  <si>
    <t>Deep Impact</t>
  </si>
  <si>
    <t>Rain of Destruction slows enemies Movement Speed by 90% for 0.5 seconds.</t>
  </si>
  <si>
    <t>Demonic Circle</t>
  </si>
  <si>
    <t>Summon a Demonic Circle at your location. Activate to teleport to the Demonic Circle.</t>
  </si>
  <si>
    <t>Quest: Hit 40 enemy Heroes with Corruption. Reward: After the third strike, Corruption strikes 3 times in the opposite direction.</t>
  </si>
  <si>
    <t>Quest: Gathering a Regen Globe causes your next Basic Ability with a Mana cost to refund 40 Mana. Reward: After Gathering 20 Regen Globes your Basic Ability Mana costs are permanently reduced by 20.</t>
  </si>
  <si>
    <t>Immolation</t>
  </si>
  <si>
    <t>After using Sweeping Strike, burn nearby enemies for 49 (23 + 4% per level) damage a second for 4 seconds.</t>
  </si>
  <si>
    <t>Battered Assault</t>
  </si>
  <si>
    <t>Unending Hatred</t>
  </si>
  <si>
    <t>Rapid Chase</t>
  </si>
  <si>
    <t>Dive grants 15% Movement Speed for 2 seconds.</t>
  </si>
  <si>
    <t>Friend or Foe</t>
  </si>
  <si>
    <t>Increases the range of Dive by 20% and allows it to be used on allied Heroes without damaging them.</t>
  </si>
  <si>
    <t>Unbound</t>
  </si>
  <si>
    <t>Reflexive Block</t>
  </si>
  <si>
    <t>Using Dive grants 75 Physical Armor against the next 2 Hero Basic Attacks for 3 seconds, reducing the damage taken by 75%.</t>
  </si>
  <si>
    <t>Thirsting Blade</t>
  </si>
  <si>
    <t>Basic Abilities heal for 25% of the damage they deal. Double this bonus versus Heroes.</t>
  </si>
  <si>
    <t>Metamorphosis</t>
  </si>
  <si>
    <t>Transform into Demon Form at the target location, dealing 101 (48 + 4% per level) damage in the area. Temporarily increase your maximum Health by 439 (208 + 4% per level) for each Hero hit. Lasts for 18 seconds.</t>
  </si>
  <si>
    <t>The Hunt</t>
  </si>
  <si>
    <t>Charge to target unit, dealing 550 (262 + 4% per level) damage on impact and stunning for 1 second.</t>
  </si>
  <si>
    <t>Nimble Defender</t>
  </si>
  <si>
    <t>If Sweeping Strikes hits an enemy Hero, gain 25 Armor for 2 seconds, reducing damage taken by 25%.</t>
  </si>
  <si>
    <t>Elusive Strike</t>
  </si>
  <si>
    <t>Sweeping Strike reduces the cooldown of Evasion by 3 seconds every time it damages an enemy Hero.</t>
  </si>
  <si>
    <t>Sixth Sense</t>
  </si>
  <si>
    <t>Evasion grants Illidan 75 Spell Armor against the next 2 sources of Spell damage, reducing their damage by 75%.</t>
  </si>
  <si>
    <t>Marked for Death</t>
  </si>
  <si>
    <t>Dive deals an extra 395 (188 + 4% per level) damage if you hit a target consecutively within 10 seconds.</t>
  </si>
  <si>
    <t>Fiery Brand</t>
  </si>
  <si>
    <t>Every 4th attack against the same Hero deals an additional 6% of their maximum Health as damage.</t>
  </si>
  <si>
    <t>Blades of Azzinoth</t>
  </si>
  <si>
    <t>Hitting 5 Heroes with Sweeping Strike allows you to activate Blades of Azzinoth to increase your Basic Attack damage by 75% for 8 seconds.</t>
  </si>
  <si>
    <t>Demonic Form</t>
  </si>
  <si>
    <t>Permanently remain in Demonic Form. Metamorphosis also increases your Attack Speed by 20% and reduces the duration of slows, roots, and stuns against you by 50%. You can now mount in Demonic Form.</t>
  </si>
  <si>
    <t>Nowhere to Hide</t>
  </si>
  <si>
    <t>The Hunt gains unlimited range. You passively reveal enemy Heroes below 25% Health anywhere on the Battleground.</t>
  </si>
  <si>
    <t>Quest: Every Minion you kill gives you 0.1 Attack Damage. Every Takedown gives 1 Attack Damage. Reward: Once you reach 20 Attack Damage, receive an additional 20 Attack damage.</t>
  </si>
  <si>
    <t>Sweeping Strike can go over walls and terrain. Reward: After hitting 30 Heroes with Sweeping Strike, gain a second charge.</t>
  </si>
  <si>
    <t>Increases the range of Frostbolt by 30%.</t>
  </si>
  <si>
    <t>Lingering Chill</t>
  </si>
  <si>
    <t>Increases the duration of Chill from 4 seconds to 6 seconds.</t>
  </si>
  <si>
    <t>Deep Chill</t>
  </si>
  <si>
    <t>Increases the slow of Chill from 25% to 30%.</t>
  </si>
  <si>
    <t>Frost Shards</t>
  </si>
  <si>
    <t>Frostbolt will now pierce the first target to hit an additional target behind them.</t>
  </si>
  <si>
    <t>Arcane Intellect</t>
  </si>
  <si>
    <t>Dealing damage to a Chilled target returns Mana to Jaina. Basic Attacks return 5 Mana and abilities return 20.</t>
  </si>
  <si>
    <t>Frost Armor</t>
  </si>
  <si>
    <t>Enemy Heroes that attack you are Chilled. Additionally, every 10 seconds, gain 50 Physical Armor against the next enemy Hero Basic attack, reducing the damage taken by 50%.</t>
  </si>
  <si>
    <t>Ice Floes</t>
  </si>
  <si>
    <t>Doubles the width of Cone of Cold and causes each target hit to reduce its cooldown by 1 seconds, to a maximum of 5 seconds per cast.</t>
  </si>
  <si>
    <t>Frostbitten</t>
  </si>
  <si>
    <t>Increases the damage bonus of Frostbite from 50% to 65%.</t>
  </si>
  <si>
    <t>Ice Lance</t>
  </si>
  <si>
    <t>When Frostbolt hits a Chilled target its cooldown is reduced by 2 seconds and you regain 10 Mana.</t>
  </si>
  <si>
    <t>Ring of Frost</t>
  </si>
  <si>
    <t>After a 1.5 second delay, create a Ring of Frost in an area that deals 310 damage and roots enemies for 3 seconds. The ring persists for 3 seconds afterward, Chilling any enemies who touch it.</t>
  </si>
  <si>
    <t>Summon Water Elemental</t>
  </si>
  <si>
    <t>Storm Front</t>
  </si>
  <si>
    <t>Increases the cast range of Blizzard by 100%.</t>
  </si>
  <si>
    <t>Ice Barrier</t>
  </si>
  <si>
    <t>When Jaina does increased damage from Frostbite, she is shielded for 25% of the total damage dealt. This Shield lasts 4 seconds.</t>
  </si>
  <si>
    <t>Icy Veins</t>
  </si>
  <si>
    <t>Snowstorm</t>
  </si>
  <si>
    <t>Increases the radius of Blizzard by 30%.</t>
  </si>
  <si>
    <t>Northern Exposure</t>
  </si>
  <si>
    <t>Enemies damaged by Cone of Cold have their Armor lowered by 25 for 2 seconds, increasing the damage they take by 25%.</t>
  </si>
  <si>
    <t>Numbing Blast</t>
  </si>
  <si>
    <t>Cone of Cold also roots Chilled targets for 1 second.</t>
  </si>
  <si>
    <t>Cold Snap</t>
  </si>
  <si>
    <t>The center of the ring also explodes with frost after the first ring expires.</t>
  </si>
  <si>
    <t>Wintermute</t>
  </si>
  <si>
    <t>Increases the cast range of Water Elemental by 50%, and the Water Elemental will now mimic your Basic Abilities for 50% damage.</t>
  </si>
  <si>
    <t>Improved Ice Block</t>
  </si>
  <si>
    <t>Activate to place yourself in Stasis and gain Invulnerability for 2.5 seconds. When this effect expires, nearby enemies are Chilled.</t>
  </si>
  <si>
    <t>Arcane Power</t>
  </si>
  <si>
    <t>Activate to instantly restore 400 Mana and increase Ability Power by 15% for 10 seconds.</t>
  </si>
  <si>
    <t>Quest: Gathering Regeneration Globes increases your Mana Regeneration by 0.1 per second, up to 2.5 per second. Reward: After gathering 25 Globes, also increase your maximum Mana by 100.</t>
  </si>
  <si>
    <t>Reinforce</t>
  </si>
  <si>
    <t>Using Basic Abilities reduces the next Basic Attack against you by 50%. Maximum 2 stacks.</t>
  </si>
  <si>
    <t>Righteous Smash</t>
  </si>
  <si>
    <t>Punish restores 10 Mana per enemy hit.</t>
  </si>
  <si>
    <t>Knight Takes Pawn</t>
  </si>
  <si>
    <t>Condemn deals 165 additional damage to Minions and Mercenaries and stuns them for 3 seconds.</t>
  </si>
  <si>
    <t>Amplified Healing</t>
  </si>
  <si>
    <t>Increases regeneration effects and all healing received by 30%.</t>
  </si>
  <si>
    <t>Roar</t>
  </si>
  <si>
    <t>Increases Punish damage by 50%.</t>
  </si>
  <si>
    <t>Eternal Retaliation</t>
  </si>
  <si>
    <t>Laws of Hope</t>
  </si>
  <si>
    <t>Regenerating 10 Health per second.Activate to heal 20% of your max Health over 4 seconds.</t>
  </si>
  <si>
    <t>Blessed Momentum</t>
  </si>
  <si>
    <t>Basic Attacks reduce your Basic Ability cooldowns by 0.5 seconds.</t>
  </si>
  <si>
    <t>Conviction</t>
  </si>
  <si>
    <t>Movement Speed is increased by 25% while Condemn is charging up.</t>
  </si>
  <si>
    <t>The Crusade Marches On</t>
  </si>
  <si>
    <t>Basic and Heroic Abilities lower the cooldown of Iron Skin by 1.5 seconds.</t>
  </si>
  <si>
    <t>Sins Exposed</t>
  </si>
  <si>
    <t>Shield Glare marks enemies for 4 seconds. The next time any ally damages them, they take 68 extra damage and the mark is removed.</t>
  </si>
  <si>
    <t>Falling Sword</t>
  </si>
  <si>
    <t>You leap towards an area. While in the air, you can steer the landing location by moving. After 2 seconds you land, dealing 356 damage to nearby enemies and knocking them into the air.</t>
  </si>
  <si>
    <t>Blessed Shield</t>
  </si>
  <si>
    <t>Deal 114 damage and stun the first enemy hit for 1.5 seconds. Blessed Shield then bounces to 2 nearby enemies, dealing 57 damage and stunning them for 0.75 seconds.</t>
  </si>
  <si>
    <t>Hold Your Ground</t>
  </si>
  <si>
    <t>Subdue</t>
  </si>
  <si>
    <t>Spell Shield</t>
  </si>
  <si>
    <t>Upon taking Ability Damage, reduce that damage and further Ability Damage by 50% for 3 seconds. Can only trigger once every 30 seconds.</t>
  </si>
  <si>
    <t>Holy Renewal</t>
  </si>
  <si>
    <t>Every enemy Hero affected by Shield Glare heals you for 114.</t>
  </si>
  <si>
    <t>Blessed Hammer</t>
  </si>
  <si>
    <t>Condemn also creates a hammer that spirals around you, dealing 41 damage to enemies it hits.</t>
  </si>
  <si>
    <t>Fanaticism</t>
  </si>
  <si>
    <t>While Iron Skin is active, gain 8% Movement Speed each time you take damage. Stacks up to 40%.</t>
  </si>
  <si>
    <t>Enemies that attack you have their Attack Speed slowed by 40%.</t>
  </si>
  <si>
    <t>While in the air, holy bolts rain down on enemies dealing 75 damage and reducing the cooldown of Falling Sword by 2 seconds for each enemy hit.</t>
  </si>
  <si>
    <t>Radiating Faith</t>
  </si>
  <si>
    <t>Indestructible</t>
  </si>
  <si>
    <t>Upon taking fatal damage, gain a Shield equal to your maximum Health for 5 seconds. This effect has a 120 second cooldown.</t>
  </si>
  <si>
    <t>Convection</t>
  </si>
  <si>
    <t>Fel Infusion</t>
  </si>
  <si>
    <t>Increases your Ability Power by 4%. Heal for 94 Health when you activate Verdant Spheres.</t>
  </si>
  <si>
    <t>Mana Addict</t>
  </si>
  <si>
    <t>Nether Wind</t>
  </si>
  <si>
    <t>Energy Roil</t>
  </si>
  <si>
    <t>When Gravity Lapse hits a Hero, reduce its cooldown by 9 seconds.</t>
  </si>
  <si>
    <t>Mana Tap</t>
  </si>
  <si>
    <t>Activating Verdante Spheres restores 4% of your maximum Mana.</t>
  </si>
  <si>
    <t>Burned Flesh</t>
  </si>
  <si>
    <t>When Flamestrike damages 2 or more Heroes, they take additional damage to 8% of their maximum Health.</t>
  </si>
  <si>
    <t>Living Bombs that spread to enemy Heroes deal 35% more damage.</t>
  </si>
  <si>
    <t>Sunfire Enchantment</t>
  </si>
  <si>
    <t>Activating Verdant Spheres causes your next Basic Attack to instead shoot a spell dealing 362 (165 + 4% per level) damage.</t>
  </si>
  <si>
    <t>Phoenix</t>
  </si>
  <si>
    <t>Launch a Phoenix to an area, dealing 171 damage to enemies along the way. The Phoenix persists for 7 seconds, attacking enemies for 171 damage and splashing for 50%.</t>
  </si>
  <si>
    <t>Pyroblast</t>
  </si>
  <si>
    <t>After 2 seconds, cast a slow-moving fireball that deals 2150 damage to an enemy Hero and 1075 damage to enemies nearby.</t>
  </si>
  <si>
    <t>Pyromaniac</t>
  </si>
  <si>
    <t>Each time Living Bomb deals periodic damage, your Basic Ability cooldowns are refreshed by 1 second.</t>
  </si>
  <si>
    <t>Backdraft</t>
  </si>
  <si>
    <t>Fission Bomb</t>
  </si>
  <si>
    <t>Fury of the Sunwell</t>
  </si>
  <si>
    <t>Flamestrike will explode a second time 1.5 seconds later.</t>
  </si>
  <si>
    <t>Twin Spheres</t>
  </si>
  <si>
    <t>Verdant Spheres gains a second charge.</t>
  </si>
  <si>
    <t>Arcane Dynamo</t>
  </si>
  <si>
    <t>Using a Basic Ability increases your Ability Power by 3% for 5 seconds, stacking up to 15%.</t>
  </si>
  <si>
    <t>Rebirth</t>
  </si>
  <si>
    <t>Increases Phoenix duration by 100%. You may order the Phoenix to move to a different location once while the Phoenix is alive.</t>
  </si>
  <si>
    <t>Presence Of Mind</t>
  </si>
  <si>
    <t>Master of Flames</t>
  </si>
  <si>
    <t>Flamethrower</t>
  </si>
  <si>
    <t>Quest: When Flamestrike damages an enemy Hero, increase its damage by 5, up to 100. Lose all damage bonuses if you die. Reward: After gaining 100 bonus damage, increase Flamestrike damage by an additional 100 and no longer lose the bonus if you die.</t>
  </si>
  <si>
    <t>Quest: Gathering a Regeneration Globe increases your maximum Mana by 15. Reward: After gathering 20 Regeneration Globes, you can also activate Arcane Barrier to gain a Shield equal to 100% of your maximum Mana for 4 seconds. 45 second cooldown.</t>
  </si>
  <si>
    <t>Siphoning Impact</t>
  </si>
  <si>
    <t>If the targeted enemy dies within 1.5 seconds, Kerrigan heals for 10% of her maximum Health.</t>
  </si>
  <si>
    <t>Sharpened Blades</t>
  </si>
  <si>
    <t>Impaling Blades deals 25% more damage.</t>
  </si>
  <si>
    <t>Energizing Grasp</t>
  </si>
  <si>
    <t>Reduces the Mana cost of Primal Grasp by 75%.</t>
  </si>
  <si>
    <t>Clean Kill</t>
  </si>
  <si>
    <t>If Ravage kills the target, it restores 75% of its Mana cost and increases the damage of your next Ravage by 25%.</t>
  </si>
  <si>
    <t>Psionic Pulse</t>
  </si>
  <si>
    <t>After casting Primal Grasp, deal 88 (42 + 4% per level) damage per second to nearby enemies. Lasts 5 seconds.</t>
  </si>
  <si>
    <t>Fury of the Swarm</t>
  </si>
  <si>
    <t>Basic Attacks splash for 60% damage around the target.</t>
  </si>
  <si>
    <t>Envenom</t>
  </si>
  <si>
    <t>Activate to poison an enemy Hero, dealing 352 damage over 10 seconds.</t>
  </si>
  <si>
    <t>Ravage can be used to jump to allies, refunding 50% of the cooldown and 100% of the Mana cost.</t>
  </si>
  <si>
    <t>Blade Torrent</t>
  </si>
  <si>
    <t>Assimilation Mastery</t>
  </si>
  <si>
    <t>Increases the duration of Assimilation by 100%. While Assimilation Shields are active your Health and Mana regeneration is increased by 100%.</t>
  </si>
  <si>
    <t>Bladed Momentum</t>
  </si>
  <si>
    <t>Basic Attacks reduce your Basic Ability cooldowns by 0.6 seconds.</t>
  </si>
  <si>
    <t>Maelstrom</t>
  </si>
  <si>
    <t>Deals 82 damage per second to nearby enemies. Lasts for 7 seconds.</t>
  </si>
  <si>
    <t>Summon Ultralisk</t>
  </si>
  <si>
    <t>Summon an Ultralisk that attacks the target to deal 91 damage. Attacks splash to nearby enemies for 50% damage. Can reactivate the Ability to retarget the Ultralisk. Lasts for 20 seconds.</t>
  </si>
  <si>
    <t>Lingering Essence</t>
  </si>
  <si>
    <t>Eviscerate</t>
  </si>
  <si>
    <t>Double Strike</t>
  </si>
  <si>
    <t>When your Basic Abilities damage an enemy, your next Basic Attack hits for 75% bonus damage.</t>
  </si>
  <si>
    <t>Aggressive Defense</t>
  </si>
  <si>
    <t>Increases base Shield amount gained from Assimilation by 100%.</t>
  </si>
  <si>
    <t>Essence for Essence</t>
  </si>
  <si>
    <t>Overdrive</t>
  </si>
  <si>
    <t>Activate to increase Ability Power by 25% and Mana costs by 40% for 5 seconds.</t>
  </si>
  <si>
    <t>Omegastorm</t>
  </si>
  <si>
    <t>Maelstrom size increased by 25% . Amount of Assimilation Shields generated by Maelstrom increased by 100%.</t>
  </si>
  <si>
    <t>Torrasque</t>
  </si>
  <si>
    <t>Transcendence</t>
  </si>
  <si>
    <t>Every 3rd Basic Attack heals the lowest nearby allied Hero for 160 (76 + 4% per level).</t>
  </si>
  <si>
    <t>Iron Fists</t>
  </si>
  <si>
    <t>Every 3rd Basic Attack deals 125% bonus damage and gives 30% increased Move Speed for 2 seconds.</t>
  </si>
  <si>
    <t>Insight</t>
  </si>
  <si>
    <t>Quest: Every 3rd Basic Attack restores 31 (15 + 4% per level) Mana and grants a stack of Insight. Reward: Once you have 100 stacks of Insight, every 3rd attack also reduces the cooldown of all your Basic Abilities by 1 second.</t>
  </si>
  <si>
    <t>Spirit Ally</t>
  </si>
  <si>
    <t>Place a Spirit Ally that heals allies in a large area around it for 2% of their maximum Health every second. Has 316 (150 + 4% per level) Health and lasts 10 seconds. You can Radiant Dash to Spirit Allies.</t>
  </si>
  <si>
    <t>Earth Ally</t>
  </si>
  <si>
    <t>Place an Earth Ally that reduces Heroic Basic Attack damage nearby allied Heroes receive by 50%. Has 843 (400 + 4% per level) Health and lasts 10 seconds. Kharazim can Radiant Dash to Earth Allies.</t>
  </si>
  <si>
    <t>Air Ally</t>
  </si>
  <si>
    <t>Place an Air Ally that grants vision of a large area around it. Has 158 (75 + 4% per level) Health, lasts 40 seconds, and stores up to 2 charges. Kharazim can Radiant Dash to Air Allies.</t>
  </si>
  <si>
    <t>Blinding Speed</t>
  </si>
  <si>
    <t>Heavenly Zeal</t>
  </si>
  <si>
    <t>Blazing Fists</t>
  </si>
  <si>
    <t>Every 3rd Basic Attack reduces the cooldown of Deadly Reach by 0.75 seconds.</t>
  </si>
  <si>
    <t>Divine Palm</t>
  </si>
  <si>
    <t>Protect an allied Hero from death, causing them to be healed for 2501 (1187 + 4% per level) if they take fatal damage in the next 3 seconds.</t>
  </si>
  <si>
    <t>Seven-Sided Strike</t>
  </si>
  <si>
    <t>Become Invulnerable and strike 7 times over 1.81 seconds. Each strike hits the highest Health nearby Hero for 7% of their maximum Health.</t>
  </si>
  <si>
    <t>Quicksilver</t>
  </si>
  <si>
    <t>Radiant Dashing to an ally gives you and the target 30% bonus Movement Speed for 3 seconds.</t>
  </si>
  <si>
    <t>Fists of Fury</t>
  </si>
  <si>
    <t>Upon taking Ability Damage, reduce that damage and further Ability Damage by 50% for 3 seconds. This can only trigger once every 30 seconds.Can be toggled to allow or prevent this talent from triggering.</t>
  </si>
  <si>
    <t>While stunned or rooted, Block all Basic Attacks, reducing their damage by 75% for 4 seconds.</t>
  </si>
  <si>
    <t>Cleansing Touch</t>
  </si>
  <si>
    <t>Radiant Dashing to an ally makes them Unstoppable for 1 second.</t>
  </si>
  <si>
    <t>Way of the Hundred Fists</t>
  </si>
  <si>
    <t>Radiant Dashing to an enemy launches a rapid volley of 6 Basic Attacks dealing 50% damage each.</t>
  </si>
  <si>
    <t>Echo of Heaven</t>
  </si>
  <si>
    <t>Breath of Heaven heals 75% of its normal amount, but heals a second time 3 seconds later.</t>
  </si>
  <si>
    <t>Dash of Light</t>
  </si>
  <si>
    <t>Radiant Dashing to an ally increases the healing they receive from Breath of Heaven by 50% for 3 seconds.</t>
  </si>
  <si>
    <t>Peaceful Repose</t>
  </si>
  <si>
    <t>Transgression</t>
  </si>
  <si>
    <t>Seven-Sided Strike hits 4 additional times.</t>
  </si>
  <si>
    <t>Epiphany</t>
  </si>
  <si>
    <t>Activate to restore 32.81% of your maximum Mana and refill 2 charges of Radiant Dash.</t>
  </si>
  <si>
    <t>Mana Thirst</t>
  </si>
  <si>
    <t>Skeletal Swing restores 10 Mana per enemy hit.</t>
  </si>
  <si>
    <t>Hopelessness</t>
  </si>
  <si>
    <t>Increases the range of Drain Hope by 20%.</t>
  </si>
  <si>
    <t>Reanimation</t>
  </si>
  <si>
    <t>You can gather Regeneration Globes while Undying. Quest: Gathering a Regeneration Glove increases your Health Regeneration by 1 per second, up to 30 per second. Reward: After gathering 30 Globes, you also respawn 10 seconds faster.</t>
  </si>
  <si>
    <t>Fealty Unto Death</t>
  </si>
  <si>
    <t>When a nearby Minion dies, you restore 1% of your maximum Health and 5 Mana. Half as effective while Undying.</t>
  </si>
  <si>
    <t>Willing Vessel</t>
  </si>
  <si>
    <t>Increases the healing from Drain Hope to 25% of your maximum Health and Drain Essence to 12.5% of your maximum Health.</t>
  </si>
  <si>
    <t>Hardened Bones</t>
  </si>
  <si>
    <t>During Wraith Walk, you take 25% less damage.</t>
  </si>
  <si>
    <t>Royal Focus</t>
  </si>
  <si>
    <t>Ghastly Reach</t>
  </si>
  <si>
    <t>Increases the range of Skeletal Swing by 25%.</t>
  </si>
  <si>
    <t>Lingering Apparition</t>
  </si>
  <si>
    <t>Increases the duration of Wraith Walk by 80%.</t>
  </si>
  <si>
    <t>Paralyzing Rage</t>
  </si>
  <si>
    <t>Increases the Movement Speed slow of Skeletal Swing to 60%.</t>
  </si>
  <si>
    <t>Ossein Renewal</t>
  </si>
  <si>
    <t>Activate to heal 20% of your maximum life over 6 seconds. Half as effective while Undying.</t>
  </si>
  <si>
    <t>Entomb</t>
  </si>
  <si>
    <t>Create an unpathable tomb in front of you for 4 seconds.</t>
  </si>
  <si>
    <t>March of the Black King</t>
  </si>
  <si>
    <t>Become Unstoppable and swing your mace three times, healing yourself for 7.03% of your maximum Health for each enemy Hero hit and dealing 401 (191 + 4% per level) damage.</t>
  </si>
  <si>
    <t>Crushing Hope</t>
  </si>
  <si>
    <t>Drain Momentum</t>
  </si>
  <si>
    <t>Drain Hope now increases your Movement Speed by 10% instead of reducing it.</t>
  </si>
  <si>
    <t>Renewed Swing</t>
  </si>
  <si>
    <t>Skeletal Swing can be recast again for free within 3 seconds for 50% damage.</t>
  </si>
  <si>
    <t>Consume Vitality</t>
  </si>
  <si>
    <t>Skeletal Swing heals you for 2% of your maximum Health per target hit, up to 10%. Half as effective while Undying.</t>
  </si>
  <si>
    <t>Unyielding Despair</t>
  </si>
  <si>
    <t>Every second Drain Hope is active, its cooldown is reduced by 1 second.</t>
  </si>
  <si>
    <t>Buried Alive</t>
  </si>
  <si>
    <t>Enemies inside Entomb take 198 (94 + 4% per level) damage per second.</t>
  </si>
  <si>
    <t>Death March</t>
  </si>
  <si>
    <t>Your final swing of March of the Black King also applies the base version of Drain Hope to all enemy Heroes in a large area.</t>
  </si>
  <si>
    <t>Spectral Leech</t>
  </si>
  <si>
    <t>Quest: Gathering Regeneration Globes increases your Mana Regeneration by 0.1 per second, up to 2.54 per second. Reward: After gathering 25 Globes, also increase your maximum Mana by 100.</t>
  </si>
  <si>
    <t>Pro Toss</t>
  </si>
  <si>
    <t>Increases the range of Healing Brew by 30%.</t>
  </si>
  <si>
    <t>Timeless Creature</t>
  </si>
  <si>
    <t>Increases the duration of Cloud Serpent by 50%.</t>
  </si>
  <si>
    <t>Gale Force</t>
  </si>
  <si>
    <t>Increases Blinding Wind damage by 50%.</t>
  </si>
  <si>
    <t>Healing Ward</t>
  </si>
  <si>
    <t>Activate to place a ward on the ground that heals allies in an area for 1.95% of their max Health every second for 10 seconds.</t>
  </si>
  <si>
    <t>Mending Serpent</t>
  </si>
  <si>
    <t>Cloud Serpent heals the friendly unit for 22 Health each time it attacks.</t>
  </si>
  <si>
    <t>Mass Vortex</t>
  </si>
  <si>
    <t>Increases the number of enemies hit by Blinding Wind from 2 to 4.</t>
  </si>
  <si>
    <t>Lingering Blind</t>
  </si>
  <si>
    <t>Increases the duration of Blinding Wind by 50%.</t>
  </si>
  <si>
    <t>Pitch Perfect</t>
  </si>
  <si>
    <t>After casting Healing Brew, its cost is reduced by 10 Mana for 6 seconds. This effect does not stack.</t>
  </si>
  <si>
    <t>The Good Stuff</t>
  </si>
  <si>
    <t>Healing Brew heals for an additional 60 Health over 6 seconds.</t>
  </si>
  <si>
    <t>Lightning Serpent</t>
  </si>
  <si>
    <t>Jug of 1,000 Cups</t>
  </si>
  <si>
    <t>Rapidly tosses brew to the most injured nearby allies, prioritizing Heroes, restoring a total of 1632 Health over 6 seconds.</t>
  </si>
  <si>
    <t>Water Dragon</t>
  </si>
  <si>
    <t>Summon a Water Dragon that after a delay hits the nearest enemy Hero and all enemies near them, dealing 318 damage and slowing their Movement Speed by 70% for 4 seconds.</t>
  </si>
  <si>
    <t>Elusive Feet</t>
  </si>
  <si>
    <t>When Fast Feet is triggered, gain 2 charges of Block (75% reduced Basic Attack damage) for 10 seconds. Can only trigger once every 10 seconds.</t>
  </si>
  <si>
    <t>Hindering Winds</t>
  </si>
  <si>
    <t>Blinding Wind also slows enemy Movement Speed by 25% for 2 seconds.</t>
  </si>
  <si>
    <t>Surging Winds</t>
  </si>
  <si>
    <t>Gain 5% Ability Power for 8 seconds for every enemy hit by Blinding Wind. Additional enemies hit refresh the duration of this buff and further increase Ability Power. Stacks up to 4 times.</t>
  </si>
  <si>
    <t>Shrink Ray</t>
  </si>
  <si>
    <t>Shake It Off</t>
  </si>
  <si>
    <t>Reduces the duration of the next Stun or Root against you by 75%. Can only trigger once every 15 seconds.</t>
  </si>
  <si>
    <t>Safety Sprint</t>
  </si>
  <si>
    <t>Increase the Movement Speed bonus of Fast Feet from 10% to 20% while under 50% Health.</t>
  </si>
  <si>
    <t>Two For One</t>
  </si>
  <si>
    <t>Increases the number of allies healed by Healing Brew to 2, but increases the cooldown by 1.5 seconds.</t>
  </si>
  <si>
    <t>Serpent Sidekick</t>
  </si>
  <si>
    <t>You also gain a Cloud Serpent whenever you cast it on another ally.</t>
  </si>
  <si>
    <t>Jug of 1,000,000 Cups</t>
  </si>
  <si>
    <t>Jug of 1,000 Cups hits two targets at a time.</t>
  </si>
  <si>
    <t>Double Dragon</t>
  </si>
  <si>
    <t>After hitting a target with Water Dragon, another dragon is summoned at the point of impact.</t>
  </si>
  <si>
    <t>Kung Fu Hustle</t>
  </si>
  <si>
    <t>Ability cooldowns refresh 150% faster while Fast Feet is active.</t>
  </si>
  <si>
    <t>Astral Presence</t>
  </si>
  <si>
    <t>Your Mana regeneration is increased by 100% while below 25% Mana.</t>
  </si>
  <si>
    <t>Power Hungry</t>
  </si>
  <si>
    <t>Regeneration Globes restore 100% more Mana and grant 10% Ability Power for 20 seconds.</t>
  </si>
  <si>
    <t>Force Armor</t>
  </si>
  <si>
    <t>When Magic Missiles damages an enemy Hero, gain 50 Spell Armor against the next enemy Ability, reducing the damage taken by 50%. Can only gain 1 charge per cast, up to 4 charges maximum.</t>
  </si>
  <si>
    <t>Aether Walker</t>
  </si>
  <si>
    <t>Charged Blast</t>
  </si>
  <si>
    <t>Basic Attacking a target recently hit by a Magic Missile does an extra 191 (91 + 4% per level) damage.</t>
  </si>
  <si>
    <t>Triumvirate</t>
  </si>
  <si>
    <t>If Arcane Orb hits an enemy Hero after traveling at least 50% of its base range, the cooldown is reduced by 50%.</t>
  </si>
  <si>
    <t>Dominance</t>
  </si>
  <si>
    <t>Takedowns restore 20% of your maximum Health.</t>
  </si>
  <si>
    <t>Seeker</t>
  </si>
  <si>
    <t>If three Magic Missiles hit the same target, the third one deals an additional 274 (130 + 4% per level) damage.</t>
  </si>
  <si>
    <t>Calamity</t>
  </si>
  <si>
    <t>Teleport does 542 (309 + 3% per level) damage to enemy Heroes near your destination.</t>
  </si>
  <si>
    <t>Disintegrate</t>
  </si>
  <si>
    <t>Channel a powerful beam, dealing 1168 (462 + 5% per level) damage over 2.5 seconds to enemies while they are in it. The direction of the beam changes with your mouse cursor position.</t>
  </si>
  <si>
    <t>Wave of Force</t>
  </si>
  <si>
    <t>Knock away all enemies from an area and deal 425 (168 + 5% per level) damage.</t>
  </si>
  <si>
    <t>Cannoneer</t>
  </si>
  <si>
    <t>When you use an Ability, increase your next Basic Attack by 75% and cause it to deal Ability damage. Stacks up to 3 times.</t>
  </si>
  <si>
    <t>Glass Cannon</t>
  </si>
  <si>
    <t>Increases your Ability Power by 15%, but decreases your maximum Health by 15%.</t>
  </si>
  <si>
    <t>Illusionist</t>
  </si>
  <si>
    <t>Increases Teleport range by 50%, and if you lose more than 20% of your Health at once, its cooldown is instantly refreshed. This cannot happen more than once every 4 seconds.</t>
  </si>
  <si>
    <t>Fireflies</t>
  </si>
  <si>
    <t>Drastically increases Magic Missiles speed. Its cooldown is reduced by 1 second and its Mana cost is reduced by 5.</t>
  </si>
  <si>
    <t>Mirrorball</t>
  </si>
  <si>
    <t>Magic Missiles fires an additional 2 missiles, but its Mana cost is increased by 5.</t>
  </si>
  <si>
    <t>Arcane Orbit</t>
  </si>
  <si>
    <t>Arcane Orb travels 25% farther, doing up to 25% more damage.</t>
  </si>
  <si>
    <t>Diamond Skin</t>
  </si>
  <si>
    <t>When you Teleport, gain 20% of your maximum Health as a Shield for 4 seconds.</t>
  </si>
  <si>
    <t>Temporal Flux</t>
  </si>
  <si>
    <t>Disintegrate gradually slows enemies caught in its beam, to a maximum of 60%.</t>
  </si>
  <si>
    <t>Repulsion</t>
  </si>
  <si>
    <t>Increases Wave of Force knockback distance by 150% and increases its cast range by 100%.</t>
  </si>
  <si>
    <t>Using abilities grants 5% Ability Power, up to a maximum of 20%. This bonus is reset when the same ability is used within a chain.</t>
  </si>
  <si>
    <t>Archon: Pure Power</t>
  </si>
  <si>
    <t>Activate to enter Archon form, allowing you to repeatedly use Disintegrate, but be unable to cast other Abilities.</t>
  </si>
  <si>
    <t>Olaf the Stout</t>
  </si>
  <si>
    <t>Every 8 seconds Olaf can block a Basic Attack, reducing its damage by 75%. Can store up to 2 charges.</t>
  </si>
  <si>
    <t>Spy Games</t>
  </si>
  <si>
    <t>After standing still for 3 seconds, Erik gains Stealth and his Sight Radius is increased by 75%. The Stealth persists for 3 seconds after moving.</t>
  </si>
  <si>
    <t>Explosive Attacks</t>
  </si>
  <si>
    <t>Increases Baleog’s splash damage against non-Heroic enemies to 100%.</t>
  </si>
  <si>
    <t>Viking Bribery</t>
  </si>
  <si>
    <t>Enemy Minions or captured Mercenaries killed near your Hero grant you stacks of Viking Bribery. Use 40 stacks to bribe target Mercenary, instantly defeating them. Does not work on Bosses. Maximum stacks available: 100.Current number of Viking Bribery stacks:</t>
  </si>
  <si>
    <t>Erik the Swift</t>
  </si>
  <si>
    <t>Non-Boss Mercenaries near your hero deal 50% more damage. Reduces damage taken from Minions and Mercenaries by 50%.</t>
  </si>
  <si>
    <t>Baleog the Fierce</t>
  </si>
  <si>
    <t>Spin To Win!</t>
  </si>
  <si>
    <t>Activate to have each Viking deal 101 damage to nearby enemies.</t>
  </si>
  <si>
    <t>Norse Force!</t>
  </si>
  <si>
    <t>All Vikings gain a 110 to 220 point Shield, increasing in strength for each Viking alive. Lasts 4 seconds.</t>
  </si>
  <si>
    <t>Norse Force</t>
  </si>
  <si>
    <t>All Vikings gain a 240 (50 + 10 per level) to 480 (100 + 20 per level) point Shield, increasing in strength for each Viking alive. Lasts 4 seconds.</t>
  </si>
  <si>
    <t>Longboat Raid!</t>
  </si>
  <si>
    <t>Hop into an Unstoppable Longboat that fires at nearby enemies for 112 damage per second and can fire a mortar that deals 205 damage in an area. The boat has increased Health for each Viking inside. If the boat is destroyed by enemies, all Vikings are stunned for 1.5 seconds. Lasts 15 seconds.Requires all surviving Vikings to be nearby.</t>
  </si>
  <si>
    <t>Play Again!</t>
  </si>
  <si>
    <t>Summon, fully heal, and revive all Lost Vikings at target location after a Viking channels for 2 seconds. Only one Viking may attempt to summon at a time.</t>
  </si>
  <si>
    <t>Olaf deals 34 damage every second to nearby enemies.</t>
  </si>
  <si>
    <t>Jump!</t>
  </si>
  <si>
    <t>Makes all Vikings Invulnerable and able to pass over enemies for 1.5 seconds.</t>
  </si>
  <si>
    <t>Nordic Attack Squad</t>
  </si>
  <si>
    <t>Large and In Charge</t>
  </si>
  <si>
    <t>When Olaf charges enemies, they are stunned for 1 second.</t>
  </si>
  <si>
    <t>Impatience Is a Virtue</t>
  </si>
  <si>
    <t>64 KB Marathon</t>
  </si>
  <si>
    <t>Gain an additional 40% Movement Speed when activating Go Go Go! that decays over 4 seconds. Additionally, the Vikings will break out of Roots and Slows.</t>
  </si>
  <si>
    <t>Basic Attacks deal 40% more damage against slowed, rooted, or stunned targets.</t>
  </si>
  <si>
    <t>The Longboat can attack two targets at once and the range of its Mortar is increased by 100%.</t>
  </si>
  <si>
    <t>Checkpoint Reached</t>
  </si>
  <si>
    <t>10 seconds after using Play Again!, any dead Vikings are revived and summoned again, and all are healed to full.</t>
  </si>
  <si>
    <t>The Sequel!</t>
  </si>
  <si>
    <t>Fury of the Storm</t>
  </si>
  <si>
    <t>Every 5 seconds, your next Basic Attack will deal an additional 41 damage to the target, and 105 damage to all nearby Minions and Mercenaries. Each Viking has their own cooldown.</t>
  </si>
  <si>
    <t>Prolonged Safeguard</t>
  </si>
  <si>
    <t>Trauma Trigger</t>
  </si>
  <si>
    <t>You gain an untalented Safeguard automatically if you take damage while below 50% Health. This effect has a 20 second cooldown.</t>
  </si>
  <si>
    <t>Feedback Loop</t>
  </si>
  <si>
    <t>When Safeguard expires, 45 Mana is refunded.</t>
  </si>
  <si>
    <t>Scouting Drone</t>
  </si>
  <si>
    <t>Places a Scouting Drone at target location, revealing a large area around it for 45 seconds. This drone cannot be hidden and is killed by enemies with 2 Basic Attacks. Stores up to 2 charges.</t>
  </si>
  <si>
    <t>Bioshield</t>
  </si>
  <si>
    <t>If your target is at full Health, they gain a Shield that absorbs 78 damage, stacking up to 5 times.</t>
  </si>
  <si>
    <t>Advanced Block</t>
  </si>
  <si>
    <t>Periodically reduces the damage received from Hero Basic Attacks by 50%. Stores up to 3 charges.</t>
  </si>
  <si>
    <t>Upgraded Ballistics</t>
  </si>
  <si>
    <t>Displacement Grenade travels 50% faster and enemies directly impacted take 33% more damage.</t>
  </si>
  <si>
    <t>Infused Grenade</t>
  </si>
  <si>
    <t>Clear!</t>
  </si>
  <si>
    <t>Irradiate</t>
  </si>
  <si>
    <t>Activate to remove all stuns, roots, silences, and slows from the target and reduce the duration of their reapplication by 50% for 2 seconds.</t>
  </si>
  <si>
    <t>Stim Drone</t>
  </si>
  <si>
    <t>Grant an allied Hero 75% Attack Speed and 25% Movement Speed for 10 seconds.</t>
  </si>
  <si>
    <t>Medivac Dropship</t>
  </si>
  <si>
    <t>Target a location for a Medivac transport. For up to 10.5 seconds before takeoff, allies can right-click to enter the Medivac.</t>
  </si>
  <si>
    <t>Intensive Care</t>
  </si>
  <si>
    <t>When Healing Beam is on a single target for over 3 seconds, its healing amount increases by 25% and Mana cost increases by 4.</t>
  </si>
  <si>
    <t>Couples Therapy</t>
  </si>
  <si>
    <t>While channeling Healing Beam you are healed for 25% of the healing amount at the cost of an additional 4 Mana per second.</t>
  </si>
  <si>
    <t>Preventative Care</t>
  </si>
  <si>
    <t>Shield Sequencer</t>
  </si>
  <si>
    <t>After casting Safeguard, you can cast it a second time within 3 seconds at no cost.</t>
  </si>
  <si>
    <t>System Shock</t>
  </si>
  <si>
    <t>Displacement Grenade slows enemies by 50% for 4 seconds. The slow amount decays over its duration.</t>
  </si>
  <si>
    <t>Second Opinion</t>
  </si>
  <si>
    <t>Transfusion</t>
  </si>
  <si>
    <t>Increases the duration of Stim Drone by 2 seconds. You also gain the effect of Stim Drone when cast on an ally.</t>
  </si>
  <si>
    <t>Medbay</t>
  </si>
  <si>
    <t>Medivac heals nearby allies and everyone aboard for 137 Health per second.</t>
  </si>
  <si>
    <t>Caduceus Reactor 2.0</t>
  </si>
  <si>
    <t>While Caduceus Reactor is active you restore 8 Mana a second and gain a Shield that absorbs 96 damage, stacking up to 5 times.</t>
  </si>
  <si>
    <t>Blossom Swell</t>
  </si>
  <si>
    <t>Photosynthesis</t>
  </si>
  <si>
    <t>Crippling Spores returns 10 Mana per enemy hit, up to 40 Mana.</t>
  </si>
  <si>
    <t>Natural Perspective</t>
  </si>
  <si>
    <t>Cruel Spores</t>
  </si>
  <si>
    <t>When Crippling Spores hits only Minions or Mercenaries, its cooldown is reduced by 80% and 20 mana is restored.</t>
  </si>
  <si>
    <t>Nimble Wisp</t>
  </si>
  <si>
    <t>Increases Wisp Movement Speed by 100% and vision radius by 50%.</t>
  </si>
  <si>
    <t>Timelost Wisp</t>
  </si>
  <si>
    <t>Wisp costs no Mana and its cooldown recharges 125% faster while no Wisp is active.</t>
  </si>
  <si>
    <t>Skybound Wisp</t>
  </si>
  <si>
    <t>Wisp can see over obstacles and reveals the area for 4 seconds after dying.</t>
  </si>
  <si>
    <t>Dividing Wisp</t>
  </si>
  <si>
    <t>The first time you relocate a Wisp it leaves a copy of itself in the previous location.</t>
  </si>
  <si>
    <t>Siphoning Toxin</t>
  </si>
  <si>
    <t>Wild Vigor</t>
  </si>
  <si>
    <t>Using Crippling Spores increases the damage of your next 4 Basic Attacks by 50%.</t>
  </si>
  <si>
    <t>Splintered Spear</t>
  </si>
  <si>
    <t>Thornwood Vine</t>
  </si>
  <si>
    <t>Send forth vines that deal 360 (171 + 4% per level) damage to all enemies in a line. Can hold 3 charges.</t>
  </si>
  <si>
    <t>Leaping Strike</t>
  </si>
  <si>
    <t>Leap over an enemy, slowing them by 80% for 0.35 seconds and attacking for 594 (286 + 4% per level) damage. Has 2 charges.</t>
  </si>
  <si>
    <t>Pestering Blossom</t>
  </si>
  <si>
    <t>Unfair Advantage</t>
  </si>
  <si>
    <t>Greater Spell Shield</t>
  </si>
  <si>
    <t>Every 30 seconds, gain 75 Spell Armor against the next enemy Ability and subsequent Abilities for 1.5 seconds, reducing the damage taken by 75%. Can be toggled to allow or prevent this talent from triggering automatically.</t>
  </si>
  <si>
    <t>Choking Pollen</t>
  </si>
  <si>
    <t>Star Wood Spear</t>
  </si>
  <si>
    <t>Using Crippling Spores increases your Basic Attacks range by 50% for 6 seconds.</t>
  </si>
  <si>
    <t>Invigorating Spores</t>
  </si>
  <si>
    <t>Using Crippling Spores increases your Attack Speed by 50% for 6 seconds.</t>
  </si>
  <si>
    <t>Let Them Wither</t>
  </si>
  <si>
    <t>Boundless Stride</t>
  </si>
  <si>
    <t>All Leaping Strike charges are returned every 20 seconds. You can also use Leaping Strike on allies.</t>
  </si>
  <si>
    <t>Galloping Gait</t>
  </si>
  <si>
    <t>Abolish Magic</t>
  </si>
  <si>
    <t>Target an Ally to remove all damage over time and disabling effects from them and yourself. For 2 seconds after, the duration of disabling effects is reduced by 50%.</t>
  </si>
  <si>
    <t>Moonburn</t>
  </si>
  <si>
    <t>Increases the range of Regrowth, Moonfire, and Entangling Roots by 30%.</t>
  </si>
  <si>
    <t>Versatile</t>
  </si>
  <si>
    <t>Increases the Mana return of Innervate to 25%.</t>
  </si>
  <si>
    <t>Vengeful Roots</t>
  </si>
  <si>
    <t>Entangling Roots also spawns a Treant that does 141 (67 + 4% per level) damage per second and lasts 10 seconds.</t>
  </si>
  <si>
    <t>Strangling Vines</t>
  </si>
  <si>
    <t>Entangling Roots deals 100% more damage.</t>
  </si>
  <si>
    <t>Tranquility</t>
  </si>
  <si>
    <t>Heals 176 (84 + 4% per level) Health per second to nearby allies over 10 seconds.</t>
  </si>
  <si>
    <t>Twilight Dream</t>
  </si>
  <si>
    <t>After a short delay, deal 820 (389 + 4% per level) damage in a large area around you, silencing enemies making them unable to use Abilities for 3 seconds. Also passively increases your Mana Regeneration by 1.5.</t>
  </si>
  <si>
    <t>Life Seed</t>
  </si>
  <si>
    <t>Nearby damaged allied Heroes will automatically gain the heal over time portion of Regrowth. This effect has a 20 second cooldown.</t>
  </si>
  <si>
    <t>Full Moonfire</t>
  </si>
  <si>
    <t>Tenacious Roots</t>
  </si>
  <si>
    <t>Entangling Roots grows 25% larger, lasts 25% longer, and roots targets for 0.5 seconds longer.</t>
  </si>
  <si>
    <t>Hindering Moonfire</t>
  </si>
  <si>
    <t>Moonfire slows targets by 25% for 2 seconds.</t>
  </si>
  <si>
    <t>Lunar Shower</t>
  </si>
  <si>
    <t>Using Moonfire reduces the cooldown of your next Moonfire by 0.5 seconds, and increases the damage by 15%. Stacks up to 3 times and resets after 6 seconds.</t>
  </si>
  <si>
    <t>Serenity</t>
  </si>
  <si>
    <t>Nightmare</t>
  </si>
  <si>
    <t>Stable Portal</t>
  </si>
  <si>
    <t>Increases Portal duration by 50%.</t>
  </si>
  <si>
    <t>Portal Mastery</t>
  </si>
  <si>
    <t>Medivh can manually place both Portal locations. Activate your Trait to cancel an unliked Portal.</t>
  </si>
  <si>
    <t>Mage Armor</t>
  </si>
  <si>
    <t>Allies gain Block the first time they use a Portal reducing damage taken from the next 3 enemy Heroic Basic Attacks by 50%. Lasts 5 seconds.</t>
  </si>
  <si>
    <t>Dust of Appearance</t>
  </si>
  <si>
    <t>Activate to reveal enemy Heroes in the area surrounding Medivh for 10 seconds. Does not cancel Raven Form.</t>
  </si>
  <si>
    <t>Arcane Charge</t>
  </si>
  <si>
    <t>When Arcane Rift damages an enemy Hero, the next Arcane Rift deals 25% more damage.</t>
  </si>
  <si>
    <t>Quest: Hit 30 enemy Heroes with Arcane Rift without dying. Reward: Permanently increases the damage dealt by 75 and cooldown reduction for hitting a Hero by 1 second.</t>
  </si>
  <si>
    <t>Arcane Explosion</t>
  </si>
  <si>
    <t>The first time Force of Will absorbs damage, it deals 401 (191 + 4% per level) damage to nearby enemies.</t>
  </si>
  <si>
    <t>Raven Familiar</t>
  </si>
  <si>
    <t>Poly Bomb</t>
  </si>
  <si>
    <t>Polymorph an enemy Hero, suppressing their attacks and Silecing them for 2 seconds. On expiration, Poly Bomb spreads to other nearby enemy Heroes.</t>
  </si>
  <si>
    <t>Ley Line Seal</t>
  </si>
  <si>
    <t>After 0.5 seconds, unleash a wave of energy that imprisons enemy Heroes in Stasis for 3 seconds.</t>
  </si>
  <si>
    <t>Quickening</t>
  </si>
  <si>
    <t>Reduces Portal cooldown by 50%.</t>
  </si>
  <si>
    <t>Astral Projection</t>
  </si>
  <si>
    <t>Increases Portal cast range by 50%.</t>
  </si>
  <si>
    <t>Winds of Celerity</t>
  </si>
  <si>
    <t>Circle of Protection</t>
  </si>
  <si>
    <t>An untalented Force of Will is also applied to allies near the target.</t>
  </si>
  <si>
    <t>Enduring Will</t>
  </si>
  <si>
    <t>Increases Force of Will duration by 33.33%</t>
  </si>
  <si>
    <t>Reabsorption</t>
  </si>
  <si>
    <t>Upon expiration, Force of Will heals the target for 50% of the damage it absorbed.</t>
  </si>
  <si>
    <t>Glyph of Poly Bomb</t>
  </si>
  <si>
    <t>Poly Bomb explodes 1 second sooner and the spread radius is increased by 25%.</t>
  </si>
  <si>
    <t>Medivh Cheats!</t>
  </si>
  <si>
    <t>Guardian of Tirisfal</t>
  </si>
  <si>
    <t>Minions and Catapults hit by Arcane Rift are instantly killed.</t>
  </si>
  <si>
    <t>Arcane Brilliance</t>
  </si>
  <si>
    <t>Activate to instantly restore 200 Mana to all nearby allied Heroes and grant them 10% Ability Power for 10 seconds.</t>
  </si>
  <si>
    <t>Invisibility</t>
  </si>
  <si>
    <t>Stealth an allied Hero for 20 seconds.</t>
  </si>
  <si>
    <t>Perfect Storm</t>
  </si>
  <si>
    <t>Third Wind</t>
  </si>
  <si>
    <t>Increases Health Restoration rate to 169 (81 + 4% per level) per second, and raises Health threshold to 50% Health for improved 336 (160 + 4% per level) per second Restoration.</t>
  </si>
  <si>
    <t>Sledgehammer</t>
  </si>
  <si>
    <t>Deals 400% damage to Minions, Structures and Mercenaries. Destroys 4 ammo from Structures.</t>
  </si>
  <si>
    <t>Reverberation</t>
  </si>
  <si>
    <t>Increases the Attack Speed slow from 25% to 50% and the duration from 2.5 seconds to 3 seconds.</t>
  </si>
  <si>
    <t>Crowd Control</t>
  </si>
  <si>
    <t>Each enemy hit by Thunder Clap reduces its cooldown by 0.75 seconds.</t>
  </si>
  <si>
    <t>Thunder Burn</t>
  </si>
  <si>
    <t>Thunder Clap leaves a zone on the ground taht explodes after 2 seconds dealing 106 (50 + 4% per level) damage and applying a 25% slow for 2.5 seconds.</t>
  </si>
  <si>
    <t>Piercing Bolt</t>
  </si>
  <si>
    <t>Penetrates through the first target hit, hitting 1 additional target.</t>
  </si>
  <si>
    <t>Landing Momentum</t>
  </si>
  <si>
    <t>Increases your Movement Speed by 25% for 4 seconds upon landing with Dwarf Toss.</t>
  </si>
  <si>
    <t>Skullcracker</t>
  </si>
  <si>
    <t>Every 3rd Basic Attack against the same target will stun them for 0.25 seconds.</t>
  </si>
  <si>
    <t>Iron-forged Momentum</t>
  </si>
  <si>
    <t>Basic Attacks reduce your Basic Ability cooldowns by 0.75 seconds.</t>
  </si>
  <si>
    <t>Avatar</t>
  </si>
  <si>
    <t>Transform for 20 seconds, gaining 2463 (1169 + 4% per level) Health and causing your Basic Attacks to stun enemies.</t>
  </si>
  <si>
    <t>Haymaker</t>
  </si>
  <si>
    <t>Stun target enemy Hero, and wind up a punch dealing 699 (332 + 4% per level) damage and knocking the target back, hitting enemies in the way for 699 (332 + 4% per level) damage and knocking them aside.</t>
  </si>
  <si>
    <t>Healing Static</t>
  </si>
  <si>
    <t>Heal for 5% of your Max Health for each target hit by Thunder Clap.</t>
  </si>
  <si>
    <t>Thunder Strike</t>
  </si>
  <si>
    <t>Thunder Clap deals 300% damage if only one target is hit.</t>
  </si>
  <si>
    <t>Dwarf Launch</t>
  </si>
  <si>
    <t>Increases the range and impact radius of Dwarf Toss by 50%.</t>
  </si>
  <si>
    <t>Heavy Impact</t>
  </si>
  <si>
    <t>Enemies hit by Dwarf Toss are stunned for 0.75 seconds.</t>
  </si>
  <si>
    <t>Attacking a Hero that is slowed, rooted, or stunned increases your Basic Attack damage by 60% for 3 seconds.</t>
  </si>
  <si>
    <t>Heroes and Summons that attack you have their Attack Speed slowed by 20% for 2.5 seconds.Activate to slow the Attack Speed by 50% and Movement Speed by 20% of nearby Heroes and Summons for 2.5 seconds.</t>
  </si>
  <si>
    <t>Stoneform</t>
  </si>
  <si>
    <t>Activate to heal for 40% of your maximum Health over 10 seconds. Second Wind is disabled during this time.</t>
  </si>
  <si>
    <t>Unstoppable Force</t>
  </si>
  <si>
    <t>Increases the duration of Avatar by 30%, and the duration of Disables are reduced by 75% while in Avatar.</t>
  </si>
  <si>
    <t>Grand Slam</t>
  </si>
  <si>
    <t>Damage of Haymaker increased by 25%, Mana cost lowered by 40, and can store 2 charges.</t>
  </si>
  <si>
    <t>Fishtank</t>
  </si>
  <si>
    <t>Every 5 seconds, reduce the damage taken from the next Hero Basic Attack by 50%. Stores up to 2 charges.</t>
  </si>
  <si>
    <t>Bubble Breeze</t>
  </si>
  <si>
    <t>Gain 20% Movement Speed while in Safety Bubble.</t>
  </si>
  <si>
    <t>Assault Egg</t>
  </si>
  <si>
    <t>Health and sight range of Egg increased by 150%.</t>
  </si>
  <si>
    <t>Enemy Minions killed near you grant a stack of Bribe. Use 20 stacks to bribe a Mercenary, instantly defeating them. Does not work on Bosses. Maximum of 100 stacks. If a camp is defeated entirely with Bribe, the camp respawns 50% faster. Current number of Bribe stacks: 1.</t>
  </si>
  <si>
    <t>Bigger Slime</t>
  </si>
  <si>
    <t>Slime area increased by 30%.</t>
  </si>
  <si>
    <t>Tufferfish</t>
  </si>
  <si>
    <t>Pufferfish take an additional attack before being disarmed.</t>
  </si>
  <si>
    <t>Living The Dream</t>
  </si>
  <si>
    <t>You gain 5% Ability Power. Quest: Every 5 seconds you are alive you gain an additional 1% Ability Power, up to an additional 15%. These stacks are lost on death.</t>
  </si>
  <si>
    <t>Slime Advantage</t>
  </si>
  <si>
    <t>Your Basic Attacks deal 100% bonus damage to Slimed targets.</t>
  </si>
  <si>
    <t>Hindering Slime</t>
  </si>
  <si>
    <t>Increases the slow amount of Slime from 20% to 30%.</t>
  </si>
  <si>
    <t>Compressed Air</t>
  </si>
  <si>
    <t>Area of effect of Pufferfish increased by 50%.</t>
  </si>
  <si>
    <t>Clairvoyance</t>
  </si>
  <si>
    <t>Activate to reveal an area for 10 seconds. Enemies in the area are revealed for 4 seconds.</t>
  </si>
  <si>
    <t>March of the Murlocs</t>
  </si>
  <si>
    <t>Command a legion of Murlocs to march in a target direction, each one leaping onto the first enemy Hero or Structure they find. Each Murloc deals 95 damage and slow its target by 15% for 5 seconds. Does half damage to Structures.</t>
  </si>
  <si>
    <t>Octo-Grab</t>
  </si>
  <si>
    <t>Summon an octopus to stun target enemy Hero for 3.06 seconds while you hit them for 1 damage a second.</t>
  </si>
  <si>
    <t>Continuous Slime</t>
  </si>
  <si>
    <t>Decreases the cooldown of Slime from 4 seconds to 3 seconds.</t>
  </si>
  <si>
    <t>Wrath of Cod</t>
  </si>
  <si>
    <t>Bubble Machine</t>
  </si>
  <si>
    <t>Safety Bubble cooldown reduced by 5 seconds.</t>
  </si>
  <si>
    <t>Hidden Assault</t>
  </si>
  <si>
    <t>When you respawn from the Egg, you gain Stealth and 20% Movement Speed for 5.125 seconds.</t>
  </si>
  <si>
    <t>Slimy End</t>
  </si>
  <si>
    <t>Slime is used on death.</t>
  </si>
  <si>
    <t>Slimy Pufferfish</t>
  </si>
  <si>
    <t>The Pufferfish casts Slime at its location upon landing.</t>
  </si>
  <si>
    <t>Rejuvenating Bubble</t>
  </si>
  <si>
    <t>Safety Bubble restores 50% of your Health.</t>
  </si>
  <si>
    <t>Never-Ending Murlocs</t>
  </si>
  <si>
    <t>Murlocs from March of the Murlocs travel farther and cling to targets for 2 seconds longer.</t>
  </si>
  <si>
    <t>... And A Shark Too!</t>
  </si>
  <si>
    <t>Increases the damage of Octo-Grab by 13700%.</t>
  </si>
  <si>
    <t>Widowmakers</t>
  </si>
  <si>
    <t>Pandemic</t>
  </si>
  <si>
    <t>Thing of the Deep</t>
  </si>
  <si>
    <t>Hexed Crawlers</t>
  </si>
  <si>
    <t>Corpse spiders restore 0.75% of your maximum Health and Mana when tey attack an enemy Hero.</t>
  </si>
  <si>
    <t>Big Voodoo</t>
  </si>
  <si>
    <t>Blood Ritual</t>
  </si>
  <si>
    <t>Spirit of Arachyr</t>
  </si>
  <si>
    <t>If your jar of Corpse Spiders hits only 1 enemy, it spawns 2 additional spiders.</t>
  </si>
  <si>
    <t>Dead Rush</t>
  </si>
  <si>
    <t>Wall of Zombies deals 75% more damage. When it expires up to 5 remaining Zombies uproot and attack nearby enemies for 3 seconds.</t>
  </si>
  <si>
    <t>Toads of Hugeness</t>
  </si>
  <si>
    <t>Increase the damage and explosion radius of Plague of Toads by 20% after each hop, up to maximum of 80%.</t>
  </si>
  <si>
    <t>Gargantuan</t>
  </si>
  <si>
    <t>Summon a Gargantuan that guards an area for 20 seconds. Deals 331 (158 + 4% per level) damage to nearby enemies when summoned, attacks for 428 (203 + 4% per level) damage, and can be ordered to stomp.</t>
  </si>
  <si>
    <t>Ravenous Spirit</t>
  </si>
  <si>
    <t>Channel a Ravenous Spirit that deals 412 (196 + 4% per level) damage per second. Cannot move while channeling. Lasts for 8 seconds.</t>
  </si>
  <si>
    <t>Guardian Toads</t>
  </si>
  <si>
    <t>Hitting an enemy Hero with Plague of Toads gives 25 Armor for 2 seconds, reducing damage taken by 25%.</t>
  </si>
  <si>
    <t>Superstition</t>
  </si>
  <si>
    <t>Gain 50 Spell Armor, taking 50% less damage from Abilities, but lose 30 Physical Armor, taking 30% more damage from Basic Attacks.</t>
  </si>
  <si>
    <t>Spider Colony</t>
  </si>
  <si>
    <t>Ring of Poison</t>
  </si>
  <si>
    <t>Zombie Wall last 1 second longer, and the center is filled with poison that deals a total of 822 (390 + 4% per level) damage over 4 seconds. This damage starts small and increases over the duration.</t>
  </si>
  <si>
    <t>Soul Harvest</t>
  </si>
  <si>
    <t>Humongoid</t>
  </si>
  <si>
    <t>Annihilating Spirit</t>
  </si>
  <si>
    <t>Increases the range of Ravenous Spirit by 50% and Movement Speed by 30%.</t>
  </si>
  <si>
    <t>Vile Infection</t>
  </si>
  <si>
    <t>Passive: Increases the range of your Basic Abilities by 20%.</t>
  </si>
  <si>
    <t>Passive: Increases the Health and Mana bonuses from Voodoo Ritual by 100%.</t>
  </si>
  <si>
    <t>Passive: If an enemy dies while poisoned by Voodoo Ritual, restore 2% of your maximum Health and Mana.</t>
  </si>
  <si>
    <t>Passive: Every 5 seconds, your next basic attack will deal an additional 91 damage to the target, and 228 damage to all nearby Minions and Mercenaries.</t>
  </si>
  <si>
    <t>Reward: After reaching 150 stacks of Voodoo Ritual, it can also be applied to Heroes and its damage is increased by 200%.</t>
  </si>
  <si>
    <t>Reward: After hitting 40 Heroes with Plague of Toads, it spawns 2 additional toads.</t>
  </si>
  <si>
    <t>Reward: After hitting Heroes 100 times with Corpse Spider attacks, their damage is increased by 30%.</t>
  </si>
  <si>
    <t>Active: Activate to place yourself in Stasis and gain Invulnerability for 3 seconds.</t>
  </si>
  <si>
    <t>Active: Activate to increase your Health and Ability Power by 5% for each nearby enemy, up to a maximum of 25%. Lasts 15 seconds.</t>
  </si>
  <si>
    <t>Advanced Cloaking</t>
  </si>
  <si>
    <t>While Stealthed, Nova gains 2 Mana per second and 25% movement speed.</t>
  </si>
  <si>
    <t>Longshot</t>
  </si>
  <si>
    <t>Increases the cast range of Pinning Shot by 30%. Pinning Shot also increases your next Basic Attack range by 30%.</t>
  </si>
  <si>
    <t>Covert Ops</t>
  </si>
  <si>
    <t>Remote Delivery</t>
  </si>
  <si>
    <t>Increases Holo Decoy cast range by 100% and its sight range by 50%.</t>
  </si>
  <si>
    <t>Rapid Projection</t>
  </si>
  <si>
    <t>Holo Stability</t>
  </si>
  <si>
    <t>Increases the duration of Holo Decoy by 120%.</t>
  </si>
  <si>
    <t>Covert Mission</t>
  </si>
  <si>
    <t>Enemy minions killed near you grant stacks. Hero Takedowns grant 10 stacks. Use 25 stacks to bribe a mercenary, instantly defeating them. Does not work on Bosses. Maximum 100 stacks. If a camp is defeated entirely with Bribe, the camp respawns 50% faster.</t>
  </si>
  <si>
    <t>One in the Chamber</t>
  </si>
  <si>
    <t>After using an ability, your next Basic Attack within 3 seconds deals 80% additional damage.</t>
  </si>
  <si>
    <t>Anti-Armor Shells</t>
  </si>
  <si>
    <t>Your Basic Attacks deal 250% damage, but your Attack Speed is proportionally slower.</t>
  </si>
  <si>
    <t>Snipe Master</t>
  </si>
  <si>
    <t>Hitting an enemy Hero with Snipe permanently increases the damage of Snipe by 15%. Stacks up to 5 times. All stacks are lost if Snipe fails to hit an enemy Hero.</t>
  </si>
  <si>
    <t>Triple Tap</t>
  </si>
  <si>
    <t>Locks in on the target Hero, then fires 3 shots that hit the first Hero or Structure they come in contact with for 741 (352 + 4% per level) damage each.</t>
  </si>
  <si>
    <t>Precision Strike</t>
  </si>
  <si>
    <t>After a 1.5 second delay, deals 1000 (475 + 4% per level) damage to enemies within an area. Unlimited range.</t>
  </si>
  <si>
    <t>Double Tap</t>
  </si>
  <si>
    <t>Pinning Shot now has 2 charges.</t>
  </si>
  <si>
    <t>Psionic Efficiency</t>
  </si>
  <si>
    <t>Explosive Round</t>
  </si>
  <si>
    <t>Snipe also deals 50% damage to enemies near the impact.</t>
  </si>
  <si>
    <t>Perfect Shot</t>
  </si>
  <si>
    <t>Hitting an enemy Hero with Snipereduces the cooldown by 3 seconds.</t>
  </si>
  <si>
    <t>Crippling Shot</t>
  </si>
  <si>
    <t>Lethal Decoy</t>
  </si>
  <si>
    <t>Fast Reload</t>
  </si>
  <si>
    <t>Precision Barrage</t>
  </si>
  <si>
    <t>Precision Strike holds two charges with a short cooldown.</t>
  </si>
  <si>
    <t>Ghost Protocol</t>
  </si>
  <si>
    <t>Activate to gain Stealth and become unrevealable for 2 seconds. You do not lose Stealth from attacking, or using Abilities during this time.</t>
  </si>
  <si>
    <t>Give Me More!</t>
  </si>
  <si>
    <t>Increases Adrenaline Rush healing by 50%.</t>
  </si>
  <si>
    <t>Focused Attack</t>
  </si>
  <si>
    <t>Every 10 seconds, your next Basic Attack against a Hero deals 60% additional damage. Basic Attacks reduce this cooldown by 1 second.</t>
  </si>
  <si>
    <t>Vigorous Assault</t>
  </si>
  <si>
    <t>Basic Attacks heal for 15% of the damage dealt to the primary target.</t>
  </si>
  <si>
    <t>Confident Aim</t>
  </si>
  <si>
    <t>Lowers the cooldown of Penetrating Round by 4 seconds if it hits an enemy Hero.</t>
  </si>
  <si>
    <t>Relentless Leader</t>
  </si>
  <si>
    <t>Once every 8 seconds, if you are stunned or rooted you knock nearby enemies away and reduce the cooldown of Adrenaline Rush by 15 seconds.</t>
  </si>
  <si>
    <t>Hamstring Shot</t>
  </si>
  <si>
    <t>Enemies hit by Penetrating Round have a 20% Movement Speed slow for 3 seconds.</t>
  </si>
  <si>
    <t>Revolution Overdrive</t>
  </si>
  <si>
    <t>Gain 10% Movement Speed while affected by Inspire. Increase this bonus by 5% for each allied Hero nearby when Inspire is cast.</t>
  </si>
  <si>
    <t>Fight or Flight</t>
  </si>
  <si>
    <t>Whenever Adrenaline Rush activates it gives 25 Armor, reducing damage taken by 25% for 4 seconds. Adrenaline Rush can also be manually activated.</t>
  </si>
  <si>
    <t>Whenever an enemy Minion you have recently damaged is destroyed, your Ability cooldowns are reduced by 1.5 seconds.</t>
  </si>
  <si>
    <t>Hyperion</t>
  </si>
  <si>
    <t>Order the Hyperion to make a strafing run dealing 66 damage a second, hitting up to 4 enemies. Also occasionally fires its Yamato Cannon on Structures for 794 damage. Lasts 12 seconds.</t>
  </si>
  <si>
    <t>Summon two Stealthed Banshees that attack an enemy. Each Banshee deals 43.2 damage a second and lasts 22 seconds. Can reactivate the Ability to retarget the Banshees.</t>
  </si>
  <si>
    <t>Double-Barreled</t>
  </si>
  <si>
    <t>Penetrating Round gains a second charge.</t>
  </si>
  <si>
    <t>Steel Resolve</t>
  </si>
  <si>
    <t>Cluster Round</t>
  </si>
  <si>
    <t>Penetrating Round damage is increased by 20% for each additional target hit up to 100%, and the width is increased by 50%.</t>
  </si>
  <si>
    <t>Bullseye</t>
  </si>
  <si>
    <t>The first enemy hit by Penetrating Round is stunned for 1 second.</t>
  </si>
  <si>
    <t>Scorched Earth</t>
  </si>
  <si>
    <t>An additional set of lasers blast the ground 5 times per second, dealing 40 damage in an area.</t>
  </si>
  <si>
    <t>Dusk Wings</t>
  </si>
  <si>
    <t>Banshees remain Stealthed while attacking and fire 50% more frequently.</t>
  </si>
  <si>
    <t>A Card to Play</t>
  </si>
  <si>
    <t>Whenever a Hero (ally or enemy) is killed, the cooldown of your Heroic Ability is reduced by 15 seconds.</t>
  </si>
  <si>
    <t>Quest: Every Minion killed near you grants 0.2 Attack Damage, and Takedowns grant 0.5 Attack Damage. Reward: Upon gaining 40 bonus Attack Damage, you can also activate Seasoned Marksman to increase your Attack Speed by 40% for 3 seconds. 60 second cooldown.</t>
  </si>
  <si>
    <t>Colossal Totem</t>
  </si>
  <si>
    <t>Increases the area and range of Earthbind Totem by 50%.</t>
  </si>
  <si>
    <t>Electric Charge</t>
  </si>
  <si>
    <t>Increases the radius of Lightning Shield by 25%.</t>
  </si>
  <si>
    <t>Wolf Run</t>
  </si>
  <si>
    <t>Increases the Movement Speed of Ghost Wolf from 30% to 40%.</t>
  </si>
  <si>
    <t>Lightning Bond</t>
  </si>
  <si>
    <t>Casting Lightning Shield on an ally also cast an untalented version on you.</t>
  </si>
  <si>
    <t>Feral Heart</t>
  </si>
  <si>
    <t>Increases Health and Mana Regeneration by 75% while in Ghost Wolf form.</t>
  </si>
  <si>
    <t>Stormcaller</t>
  </si>
  <si>
    <t>Healing Totem</t>
  </si>
  <si>
    <t>Activate to place a Totem that heals allies in an area for 1.95% of their max Health every second for 10 seconds.</t>
  </si>
  <si>
    <t>Blood and Thunder</t>
  </si>
  <si>
    <t>Ghost Wolf attacks reduce Basic Ability cooldowns by 2 seconds.</t>
  </si>
  <si>
    <t>Farsight</t>
  </si>
  <si>
    <t>Totemic Projection</t>
  </si>
  <si>
    <t>Reactivate Earthbind Totem to move an existing totem to a new location once.</t>
  </si>
  <si>
    <t>Ancestral Healing</t>
  </si>
  <si>
    <t>After 1 second, heal an allied Hero for 1552 Health.</t>
  </si>
  <si>
    <t>Bloodlust</t>
  </si>
  <si>
    <t>Grant nearby allied Heroes 40% Attack Speed and 25% Movement Speed. Lasts for 8 seconds.</t>
  </si>
  <si>
    <t>Earth Shield</t>
  </si>
  <si>
    <t>Lightning Shield gives a Shield that absorbs damage equal to 12% of their maximum Health for 3 seconds.</t>
  </si>
  <si>
    <t>Tidal Waves</t>
  </si>
  <si>
    <t>Earthliving Enchant</t>
  </si>
  <si>
    <t>When Chain Heal heals a Hero below 50% Health, they are healed an additional 439 Health over 5 seconds.</t>
  </si>
  <si>
    <t>Earthgrasp Totem</t>
  </si>
  <si>
    <t>When Earthbind Totem is first cast, it slows nearby enemies by 90% for 1.5 second.</t>
  </si>
  <si>
    <t>Hunger of the Wolf</t>
  </si>
  <si>
    <t>Rising Storm</t>
  </si>
  <si>
    <t>Increases healing amount by 50%. Allies near the target are healed for 25% of the amount of health regained.</t>
  </si>
  <si>
    <t>All alies affected by Bloodlust now heal for 30% of their Basic Attack damage done to their primary target.</t>
  </si>
  <si>
    <t>Grizzled Bear</t>
  </si>
  <si>
    <t>Misha periodically reduces the damage received from Hero Basic Attacks by 50%. Stores up to 2 charges.</t>
  </si>
  <si>
    <t>Hunter-Gatherer</t>
  </si>
  <si>
    <t>Quest: Gathering a Regeneration Globe increases your Health Regeneration by 1 per second, up to 30 per second. Reward: After gathering 30 Globes, Rexxar gains 600 maximum Health.</t>
  </si>
  <si>
    <t>Survivalist Training</t>
  </si>
  <si>
    <t>Regeneration Globes restore 100% more Mana.</t>
  </si>
  <si>
    <t>Flare</t>
  </si>
  <si>
    <t>Fire a flare at an area, revealing it for 5 seconds.</t>
  </si>
  <si>
    <t>Hungry Bear</t>
  </si>
  <si>
    <t>Crippling Talons</t>
  </si>
  <si>
    <t>Taking Flight</t>
  </si>
  <si>
    <t>Easy Prey</t>
  </si>
  <si>
    <t>Blood of the Rhino</t>
  </si>
  <si>
    <t>Throwing Axes</t>
  </si>
  <si>
    <t>Increases your Basic Attack range by 25%.</t>
  </si>
  <si>
    <t>Aspect of the Beast</t>
  </si>
  <si>
    <t>Bird of Prey</t>
  </si>
  <si>
    <t>Bestial Wrath</t>
  </si>
  <si>
    <t>Unleash the Boars</t>
  </si>
  <si>
    <t>Release a herd of boars that track down all enemy Heroes in a direction, dealing 242 (115 + 4% per level) damage, revealing, and slowing enemies by 40% for 5 seconds.</t>
  </si>
  <si>
    <t>Wildfire Bear</t>
  </si>
  <si>
    <t>Misha deals 28 damage per second to nearby enemies.</t>
  </si>
  <si>
    <t>Thrill of the Hunt</t>
  </si>
  <si>
    <t>Bear Necessities</t>
  </si>
  <si>
    <t>Barkskin</t>
  </si>
  <si>
    <t>Misha takes 50% less damage from Abilities for 5 seconds after using Misha, Charge!</t>
  </si>
  <si>
    <t>Critical Care</t>
  </si>
  <si>
    <t>Increases the healing of Mend Pet by 50% while Misha is under 50% health.</t>
  </si>
  <si>
    <t>Aspect of the Hawk</t>
  </si>
  <si>
    <t>When Spirit Swoop hits an enemy Hero, you gain 100% Attack Speed for 3 seconds.</t>
  </si>
  <si>
    <t>Primal Intimidation</t>
  </si>
  <si>
    <t>Enemies that Basic Attack you or Misha have their Attack Speed slowed by 40%.</t>
  </si>
  <si>
    <t>Feign Death</t>
  </si>
  <si>
    <t>Fake your death, becoming Invulnerable and untargetable for 5 seconds. During this time you control Misha.</t>
  </si>
  <si>
    <t>Spirit Bond</t>
  </si>
  <si>
    <t>Kill Command</t>
  </si>
  <si>
    <t>Unleash the Boars deals 50% more damage and roots for 1.5 seconds.</t>
  </si>
  <si>
    <t>Frenzy of Kalimdor</t>
  </si>
  <si>
    <t>Hardened Skin</t>
  </si>
  <si>
    <t>You and Misha take 75% less damage for 4 seconds.</t>
  </si>
  <si>
    <t>Advanced Artillery</t>
  </si>
  <si>
    <t>Increase the damage bonus to long distance enemies by 10%.</t>
  </si>
  <si>
    <t>Resistant</t>
  </si>
  <si>
    <t>While in Siege Mode, the duration of Silences, Stuns, Slows, and Roots are reduced by 75%.</t>
  </si>
  <si>
    <t>Ambush</t>
  </si>
  <si>
    <t>Stealth when entering Siege Mode. Your next Basic Attack from Siege Mode will deal 100% more damage. Lose Stealth when Basic Attacking, using an Ability, taking damage, or returning to Tank Mode.</t>
  </si>
  <si>
    <t>Every 10 seconds, your next Basic Attack against a Hero deals 75% additional damage. Basic Attacks reduce this cooldown by 1 second.</t>
  </si>
  <si>
    <t>Excessive Force</t>
  </si>
  <si>
    <t>Double the knock back distance.</t>
  </si>
  <si>
    <t>Mine Field</t>
  </si>
  <si>
    <t>Increase the number of mines by 2.</t>
  </si>
  <si>
    <t>Hyper-Cooling Engines</t>
  </si>
  <si>
    <t>Reduce the cooldown of Thrusters by 10 seconds. Thrusters are always active while at the Altar.</t>
  </si>
  <si>
    <t>First Aid</t>
  </si>
  <si>
    <t>Activate to heal 11.07% of your max Health over 6 seconds.</t>
  </si>
  <si>
    <t>Blunt Force Gun</t>
  </si>
  <si>
    <t>Fire a missile across the battlefield, dealing 365 damage to enemies in its path.</t>
  </si>
  <si>
    <t>Napalm Strike</t>
  </si>
  <si>
    <t>Deals 164 damage on impact, and leaves a napalm area that deals 50 damage per second. Lasts for 4 seconds.</t>
  </si>
  <si>
    <t>First Strike</t>
  </si>
  <si>
    <t>Bullhead Mines</t>
  </si>
  <si>
    <t>Middle Spider Mine knocks target back a short distance.</t>
  </si>
  <si>
    <t>Barricade</t>
  </si>
  <si>
    <t>Create a wall of path blocking debris for 4 seconds.</t>
  </si>
  <si>
    <t>Hover Siege Mode</t>
  </si>
  <si>
    <t>You can move at 50% Movement Speed in Siege Mode.</t>
  </si>
  <si>
    <t>Graduating Range</t>
  </si>
  <si>
    <t>While in Siege Mode your standard Basic Attack range increases by 20% every 3 seconds, up to 100%.</t>
  </si>
  <si>
    <t>Stoneskin</t>
  </si>
  <si>
    <t>Activate to gain 30% of your maximum Health as a Shield for 5 seconds.</t>
  </si>
  <si>
    <t>Orbital BFG</t>
  </si>
  <si>
    <t>Advanced Lava Strike</t>
  </si>
  <si>
    <t>Every 5 seconds, your next basic attack will deal an additional 91 damage to the target, and 228 damage to all nearby Minions and Mercenaries.</t>
  </si>
  <si>
    <t>War Paint</t>
  </si>
  <si>
    <t>Basic Attacks heal you for 30% of the damage dealt.</t>
  </si>
  <si>
    <t>Shot of Fury</t>
  </si>
  <si>
    <t>Increases your maximum Fury by 50. You can also activate your Trait to gain 50 Fury. Usable while Whirlwinding.</t>
  </si>
  <si>
    <t>Shattered Ground</t>
  </si>
  <si>
    <t>Increases Seismic Slam splash damage to 75% of primary target damage.</t>
  </si>
  <si>
    <t>Hurricane</t>
  </si>
  <si>
    <t>Reduces the cooldown of Whirlwind by 1 second and Whirlwind removes all slows and roots on Sonya.</t>
  </si>
  <si>
    <t>Poisoned Spear</t>
  </si>
  <si>
    <t>Ancient Spear deals an additional 75% damage over 4 seconds.</t>
  </si>
  <si>
    <t>Composite Spear</t>
  </si>
  <si>
    <t>Increases the range of Ancient Spear by 30% and increases Fury generated by 20.</t>
  </si>
  <si>
    <t>Ferocious Healing</t>
  </si>
  <si>
    <t>Consume 20 Fury to heal 10.15% of your maximum Health.Usable while Whirlwinding.</t>
  </si>
  <si>
    <t>Leap</t>
  </si>
  <si>
    <t>Leap into the air, dealing 123 damage to nearby enemies, and stunning them for 1.5 seconds.</t>
  </si>
  <si>
    <t>Wrath of the Berserker</t>
  </si>
  <si>
    <t>Increase damage dealt by 40%. Reduce the duration of silences, stuns, slows, roots, and polymorphs against you by 50%. Lasts 15 seconds, and extends by 1 second for every 10 Fury gained.</t>
  </si>
  <si>
    <t>Life Funnel</t>
  </si>
  <si>
    <t>Increases the healing of Whirlwind to 30%, tripled versus Heroes.</t>
  </si>
  <si>
    <t>Aftershock</t>
  </si>
  <si>
    <t>Using Seismic Slam reduces its Fury cost by 50% for 2 seconds.</t>
  </si>
  <si>
    <t>Mystical Spear</t>
  </si>
  <si>
    <t>Furious Blow</t>
  </si>
  <si>
    <t>Increases Seismic Slam damage by 50%, but costs 40 Fury.</t>
  </si>
  <si>
    <t>No Escape</t>
  </si>
  <si>
    <t>Increases the Movement Speed bonus from using Basic and Heroic Abilities to 25%.</t>
  </si>
  <si>
    <t>Nerves of Steel</t>
  </si>
  <si>
    <t>Activate to gain 30% of your maximum Health as a Shield for 5 seconds. Usable while Whirlwinding.</t>
  </si>
  <si>
    <t>Arreat Crater</t>
  </si>
  <si>
    <t>Anger Management</t>
  </si>
  <si>
    <t>Increases all Fury generated during Wrath of the Berserker by 100%.</t>
  </si>
  <si>
    <t>Ignore Pain</t>
  </si>
  <si>
    <t>Activate to reduce damage taken by 75% for 4 seconds. Usable while Whirlwinding.</t>
  </si>
  <si>
    <t>Chew Your Food</t>
  </si>
  <si>
    <t>Using Devour also heals you for 9.555% of your max Health over 3.06 seconds.</t>
  </si>
  <si>
    <t>Hungry for More</t>
  </si>
  <si>
    <t>Collecting Regeneration Globes permanently increases your maximum Health by 30.</t>
  </si>
  <si>
    <t>Heavy Slam</t>
  </si>
  <si>
    <t>Slam damage increased by 50%</t>
  </si>
  <si>
    <t>Vile Cleaver</t>
  </si>
  <si>
    <t>Basic Attacks create a cloud of Vile Gas on the target.</t>
  </si>
  <si>
    <t>Putrid Ground</t>
  </si>
  <si>
    <t>Enemies hit by Slam are infected with Vile Gas.</t>
  </si>
  <si>
    <t>Savor the Flavor</t>
  </si>
  <si>
    <t>Using Devour on an enemy Hero permanently increases your Health Regeneration by 2 per second.</t>
  </si>
  <si>
    <t>Last Bite</t>
  </si>
  <si>
    <t>If an enemy dies within 3 seconds of being damaged by Devour, its cooldown is reduced by 12 seconds.</t>
  </si>
  <si>
    <t>Tenderizer</t>
  </si>
  <si>
    <t>Basic Attacks slow enemy Movement Speed by 25% for 1.5 seconds.</t>
  </si>
  <si>
    <t>Toxic Gas</t>
  </si>
  <si>
    <t>Increases Vile Gas radius by 102.5% and the duration of the effect by 1 second.</t>
  </si>
  <si>
    <t>Putrid Bile</t>
  </si>
  <si>
    <t>Emit bile that deals 37 damage per second to enemies within, slowing them by 35%. You gain 20% Movement Speed while emitting bile. Lasts 8 seconds.</t>
  </si>
  <si>
    <t>Gorge</t>
  </si>
  <si>
    <t>Relentless</t>
  </si>
  <si>
    <t>Reduces the duration of silences, stuns, slows, and roots against your Hero by 50%.</t>
  </si>
  <si>
    <t>Mega Smash</t>
  </si>
  <si>
    <t>Range and arc of Slam increased by 25%.</t>
  </si>
  <si>
    <t>Indigestion</t>
  </si>
  <si>
    <t>Using Devour also creates a Retchling that applies Vile Gas Poison when it attacks.</t>
  </si>
  <si>
    <t>Helping Hand</t>
  </si>
  <si>
    <t>Hook can also pull allied Heroes (but will not damage them). When used to pull allies, the cooldown is reduced by 50%.</t>
  </si>
  <si>
    <t>Pulverize</t>
  </si>
  <si>
    <t>Fishing Hook</t>
  </si>
  <si>
    <t>Hook has an additional 40% range.</t>
  </si>
  <si>
    <t>Shish Kabob</t>
  </si>
  <si>
    <t>Hook can pull up to 2 targets.</t>
  </si>
  <si>
    <t>Regenerative Bile</t>
  </si>
  <si>
    <t>Putrid Bile lasts 2 seconds longer, grants an additional 10% Movement Speed and heals for 48.65% of the damage dealt.</t>
  </si>
  <si>
    <t>Hungry Hungry Stitches</t>
  </si>
  <si>
    <t>While active, Gorge can be repeatedly recast until the first target is expelled. Increases Gorge damage by 40%.</t>
  </si>
  <si>
    <t>Overflowing Quiver</t>
  </si>
  <si>
    <t>When a nearby enemy Minion dies, a free Withering Fire is shot. This cannot hit Heroes and has a short cooldown.</t>
  </si>
  <si>
    <t>Dreadful Wake</t>
  </si>
  <si>
    <t>Increases the effect of Black Arrow on Minions and Mercenaries to 7 seconds. Restores 5 Mana per minion or mercenary hit.</t>
  </si>
  <si>
    <t>Mercenary Queen</t>
  </si>
  <si>
    <t>Friendly non-Boss Mercenaries near you deal 50% more damage.</t>
  </si>
  <si>
    <t>Withering Barrage</t>
  </si>
  <si>
    <t>Increase Withering Fire charges by 1. Charges can be fired 33% faster.</t>
  </si>
  <si>
    <t>With the Wind</t>
  </si>
  <si>
    <t>Lost Soul</t>
  </si>
  <si>
    <t>Barbed Shot</t>
  </si>
  <si>
    <t>Withering Fire deals 200% bonus damage to Minions, Mercenaries, and Monsters.</t>
  </si>
  <si>
    <t>Unstable Poison</t>
  </si>
  <si>
    <t>Minions and Mercenaries that die under the effects of Black Arrows explode, dealing 255 (121 + 4% per level) damage to nearby enemies. Does not damage Heroes or Structures.</t>
  </si>
  <si>
    <t>Possession</t>
  </si>
  <si>
    <t>Force an enemy Minion to fight for you. 3 charges. 8 second charge cooldown.</t>
  </si>
  <si>
    <t>Wailing Arrow</t>
  </si>
  <si>
    <t>Shoot an arrow that can be reactivated to deal 228 damage and Silencing enemies in an area making them unable to use Abilities for 2.5 seconds. The arrow detonates automatically when it reaches maximum range.</t>
  </si>
  <si>
    <t>Mind Control</t>
  </si>
  <si>
    <t>Life Drain</t>
  </si>
  <si>
    <t>Shadow Dagger heals you for 82 (39 + 4% per level) each time it spreads to a new enemy.</t>
  </si>
  <si>
    <t>Windrunner</t>
  </si>
  <si>
    <t>After you teleport from Haunting Wave, you can cast a second one for free within 2 seconds.</t>
  </si>
  <si>
    <t>Will of the Forsaken</t>
  </si>
  <si>
    <t>Activate to become Unstoppable and gain 40% Movement Speed for 3 seconds.</t>
  </si>
  <si>
    <t>Evasive Fire</t>
  </si>
  <si>
    <t>When you hit an emeny with Whitering Fire, gain 10% Movement Speed for 2 seconds, stacking up to 30%.</t>
  </si>
  <si>
    <t>Cold Embrace</t>
  </si>
  <si>
    <t>Shadow Dagger makes the initial enemy Vulnerable, taking 25% more damage, for 2 seconds.</t>
  </si>
  <si>
    <t>Overwhelming Affliction</t>
  </si>
  <si>
    <t>Black Arrows now also applies to Heroes, slowing their Movement Speed by 6% for the duration. Stacks up to 5 times.</t>
  </si>
  <si>
    <t>Remorseless</t>
  </si>
  <si>
    <t>After using an Ability, your next Basic Attack within 3 seconds deals 40% additional damage.</t>
  </si>
  <si>
    <t>Deafening Blast</t>
  </si>
  <si>
    <t>Mind Controlled enemies gain 100% Movement Speed for the duration.</t>
  </si>
  <si>
    <t>Psi-Infusion</t>
  </si>
  <si>
    <t>Templar’s Will</t>
  </si>
  <si>
    <t>Khaydarin Resonance</t>
  </si>
  <si>
    <t>Upon expiration or breaking, the target of Plasma Shield gains 25 Armor for 3 seconds, causing them to take 25% less damage.</t>
  </si>
  <si>
    <t>Plasma Shield also grants 25% Movement Speed for 5 seconds.</t>
  </si>
  <si>
    <t>Increase the Life Steal of Plasma Shield to 40%.</t>
  </si>
  <si>
    <t>Psionic Projection</t>
  </si>
  <si>
    <t>Increases the cast range of Plasma SHield and Psionic Storm by 40%.</t>
  </si>
  <si>
    <t>Resonation</t>
  </si>
  <si>
    <t>Distortion Beam slows enemies affected by Psionic Storm by 40%.</t>
  </si>
  <si>
    <t>Mental Acuity</t>
  </si>
  <si>
    <t>Archon</t>
  </si>
  <si>
    <t>Tassadar transforms into an Archon and gains a Plasma Shield. His Basic Attacks deal 182 (+4% per level) damage, slow the target by 40% for 1 second and splashs for 91 (+4% per level) damage to enemies within 2.5 range. Lasts for 10.5 seconds.</t>
  </si>
  <si>
    <t>Force Wall</t>
  </si>
  <si>
    <t>Create a wall that blocks all units from moving through it for 2.5 seconds.</t>
  </si>
  <si>
    <t>Deep Shift</t>
  </si>
  <si>
    <t>Dimensional Shift duration and Movement Speed bonuses are increased by 50%.</t>
  </si>
  <si>
    <t>While Oracle is active, Basic Abilities cooldown 50% faster.</t>
  </si>
  <si>
    <t>Nulification</t>
  </si>
  <si>
    <t>Activate to reduce the damage the target enemy Hero deals by 75% for 3 seconds.</t>
  </si>
  <si>
    <t>Phase Disruption</t>
  </si>
  <si>
    <t>Enemy Heroes being hit by Psionic Storm, have their Physical Armor reduced by 25, causing them to take 25% more damage from Basic Attacks.</t>
  </si>
  <si>
    <t>Psionic Echo</t>
  </si>
  <si>
    <t>Focused Beam</t>
  </si>
  <si>
    <t>Twilight Archon</t>
  </si>
  <si>
    <t>Basic Attacks while in Archon form refresh its duration.</t>
  </si>
  <si>
    <t>Force Barrier</t>
  </si>
  <si>
    <t>Prismatic Link</t>
  </si>
  <si>
    <t>Basic Attacks bounce to hit 2 additional targets for 52% (+4% per level) damage.</t>
  </si>
  <si>
    <t>Activate to give all nearby allied Heroes an untalented Plasma Shield.</t>
  </si>
  <si>
    <t>Quest: Gain 1 Mana for every Non-Structure enemy hit by Psionic Storm. Reward: After hitting 500 enemies, increase the size of Psionic Storm by 20%. Reward: After hitting 1000 enemies, increase the damage of Psionic Storm by 20%.</t>
  </si>
  <si>
    <t>Quest: Regeneration Globes grant an additional 50% Mana.Reward: After collecting 20 Regeneration Globes, Plasma Shield retains 50% of its value after it expires. Reward: After collecting 40 Regeneration Globes, Plasma Shield persists indefinitely.</t>
  </si>
  <si>
    <t>Quest: Each Takedown earned lowers the cooldown of Oracle by 3 seconds, to a maximum of 15 seconds. Reward: Upon getting 5 Takedowns, the sight range of Oracle is increased by 50%.</t>
  </si>
  <si>
    <t>Cooldown: 60</t>
  </si>
  <si>
    <t>Rolling Thunder</t>
  </si>
  <si>
    <t>Rabid Wolves</t>
  </si>
  <si>
    <t>Damaging Heroes with Feral Spirit grants 3 stacks of Frostwolf Resilience.</t>
  </si>
  <si>
    <t>Ride The Lightning</t>
  </si>
  <si>
    <t>Chain Lightning can hit 2 additional enemies for 50% damage.</t>
  </si>
  <si>
    <t>Spirit Journey</t>
  </si>
  <si>
    <t>Feral Spirit travels 50% farther.</t>
  </si>
  <si>
    <t>Mana Tide</t>
  </si>
  <si>
    <t>Frostwolf Resilience also restores 15 Mana.</t>
  </si>
  <si>
    <t>Wind Shear</t>
  </si>
  <si>
    <t>Reduces the cooldown of Windfury by 4 seconds.</t>
  </si>
  <si>
    <t>Stone Wolves</t>
  </si>
  <si>
    <t>Frostwolf Resilience can be activated to immediately heal you.</t>
  </si>
  <si>
    <t>Sundering</t>
  </si>
  <si>
    <t>After a short delay, sunder the earth in a long line, dealing 601 (285 + 4% per level) damage and shoving enemies to the side, stunning them for 1.0 seconds.</t>
  </si>
  <si>
    <t>Earthquake</t>
  </si>
  <si>
    <t>Summon a massive Earthquake that pulses every 2 seconds. Each pulse slows all enemies in the area by 70%, and deals 110 (52 + 4% per level) damage to enemy Heroes . Does 3 pulses..</t>
  </si>
  <si>
    <t>Restless Wolves</t>
  </si>
  <si>
    <t>If Feral Spirit hits an enemy Hero, its cooldown is reduced by 50%.</t>
  </si>
  <si>
    <t>Grace Of Air</t>
  </si>
  <si>
    <t>Windfury attacks grant twice as many stacks of Frostwolf Resilience.</t>
  </si>
  <si>
    <t>Forked Lightning</t>
  </si>
  <si>
    <t>Allows Chain Lightning to hold 2 charges that can be used in quick succession.</t>
  </si>
  <si>
    <t>Tempest Fury</t>
  </si>
  <si>
    <t>The final strike of Windfury hits 3 times for 75% normal damage.</t>
  </si>
  <si>
    <t>Ride The Wind</t>
  </si>
  <si>
    <t>Worldbreaker</t>
  </si>
  <si>
    <t>Sundering travels indefinitely.</t>
  </si>
  <si>
    <t>Earthen Shields</t>
  </si>
  <si>
    <t>You and your allies within the Earthquake area gain a Shield equal to 15% of max Health each pulse. This shield lasts 4 seconds.</t>
  </si>
  <si>
    <t>Pulse Strike</t>
  </si>
  <si>
    <t>Slipstream</t>
  </si>
  <si>
    <t>Increases the amount of time Recalled by 1 second.</t>
  </si>
  <si>
    <t>Tracer Rounds</t>
  </si>
  <si>
    <t>Your Basic Attacks reveal enemies for 4 seconds.</t>
  </si>
  <si>
    <t>Parting Gift</t>
  </si>
  <si>
    <t>Recall leaves behind 3 bombs that deal 526 (250 + 4% per level) damage each to different targets.</t>
  </si>
  <si>
    <t>Is That a Health Pack?!</t>
  </si>
  <si>
    <t>Increases Regeneration Globe and Healing Fountain healing by 100%.</t>
  </si>
  <si>
    <t>Untouchable</t>
  </si>
  <si>
    <t>Jumper</t>
  </si>
  <si>
    <t>Bullet Time</t>
  </si>
  <si>
    <t>Basic Attacks lower the cooldown of Blink by 0.1 seconds.</t>
  </si>
  <si>
    <t>Spatial Echo</t>
  </si>
  <si>
    <t>Hero Takedowns grant 2 charges of Blink.</t>
  </si>
  <si>
    <t>Sticky Bomb</t>
  </si>
  <si>
    <t>Quantum Spike</t>
  </si>
  <si>
    <t>Pulse Rounds</t>
  </si>
  <si>
    <t>Bullet Spray</t>
  </si>
  <si>
    <t>Ricochet</t>
  </si>
  <si>
    <t>Your Basic Attacks have a 50% chance to hit another nearby enemy, prioritizing Heroes.</t>
  </si>
  <si>
    <t>Leeching Rounds</t>
  </si>
  <si>
    <t>Your Basic Attacks against Heroes heal you for 20% of their damage dealt.</t>
  </si>
  <si>
    <t>Sleight of Hand</t>
  </si>
  <si>
    <t>Reduces Reload time by 50%. This equals 20% more damage per second.</t>
  </si>
  <si>
    <t>Focus Fire</t>
  </si>
  <si>
    <t>If an entire ammo magazine is unloaded on an enemy, the last bullet will deal 191 (91 + 4% per level) bonus damage. This is equal to 35% of the total magazine.</t>
  </si>
  <si>
    <t>Locked and Loaded</t>
  </si>
  <si>
    <t>Reactivate Reload within the last 50% of its cast time to increase your Basic Attack damage by 40% for that magazine.</t>
  </si>
  <si>
    <t>Get Stuffed!</t>
  </si>
  <si>
    <t>Total Recall</t>
  </si>
  <si>
    <t>Composition B</t>
  </si>
  <si>
    <t>If you successfully stick a Pulse Bomb to an enemy Hero, you also drop another one at their feet that deals 50% damage and explodes slightly earlier.</t>
  </si>
  <si>
    <t>Quest: Takedowns increase your Basic Attack damage by 2%, up to 30%. These bonuses are lost on death. Reward: None</t>
  </si>
  <si>
    <t>Press the Advantage</t>
  </si>
  <si>
    <t>Run and Gun increases your Basic Attack range by 35% for 4 seconds.</t>
  </si>
  <si>
    <t>Dash</t>
  </si>
  <si>
    <t>Combat Tactician</t>
  </si>
  <si>
    <t>Basic Attacks reduce the cooldown of Run and Gun by 0.8 seconds.</t>
  </si>
  <si>
    <t>In the Rhythm</t>
  </si>
  <si>
    <t>Fully Loaded</t>
  </si>
  <si>
    <t>The Bigger They Are...</t>
  </si>
  <si>
    <t>Increases Minigun damage bonus to 4% while enemy Heroes are above 40% Health, but Minigun no longer has any effect on targets below 40%.</t>
  </si>
  <si>
    <t>Master Assassin</t>
  </si>
  <si>
    <t>Quarterback</t>
  </si>
  <si>
    <t>Increases the range of Frag Grenade by 50%.</t>
  </si>
  <si>
    <t>Concussion Grenade</t>
  </si>
  <si>
    <t>Relentless Soldier</t>
  </si>
  <si>
    <t>Being Stunned or Rooted grants 25 Armor for 3 seconds, reducing damage taken by 25%.</t>
  </si>
  <si>
    <t>Commandeer Odin</t>
  </si>
  <si>
    <t>Call down an Odin to pilot. The Odin deals increased Damage, has 60% increased Basic Attack range, and uses different Abilities. The Odin has 25 Armor and lasts 23 seconds.</t>
  </si>
  <si>
    <t>Drakken Laser Drill</t>
  </si>
  <si>
    <t>Minigun heals you for 100% of the bonus damage it deals to Heroes.</t>
  </si>
  <si>
    <t>Neosteel Coating</t>
  </si>
  <si>
    <t>Activate to gain 50 Spell Armor for 3 seconds, reducing Ability Damage taken by 50%.</t>
  </si>
  <si>
    <t>Titan Grenade</t>
  </si>
  <si>
    <t>Frag Grenade deals bonus damage to Heroes equal to 5% of their maximum Health.</t>
  </si>
  <si>
    <t>Lead Rain</t>
  </si>
  <si>
    <t>Overkill also slows enemy movement speed by 20%.</t>
  </si>
  <si>
    <t>Armor Piercing Rounds</t>
  </si>
  <si>
    <t>Big Red Button</t>
  </si>
  <si>
    <t>Odin lasts 50% longer and Ragnarok Missiles also launches a Nuclear Missile.</t>
  </si>
  <si>
    <t>Focusing Diodes</t>
  </si>
  <si>
    <t>Increases the range of the Drakken Laser Drill by 50%. Deals increased damage the longer it remains on a single target, up to 100% extra damage.</t>
  </si>
  <si>
    <t>Your Basic Attacks deal bonus damage to Heroes equal to 1% of their maximum Health. Stacks with Minigum.</t>
  </si>
  <si>
    <t>Bob and Weave</t>
  </si>
  <si>
    <t>Quest: Run and Gun increases your Movement Speed by 1% for each Regeneration Globe you gather, up to 25%. Lasts 2 seconds. Reward: Once you have gathered 25 Regeneration Globes, also increase the range of Run and Gun by 50%.</t>
  </si>
  <si>
    <t>Quest: While Minigun is active, Basic Attack against Heroes permanently increase future Minigun durations by .03 seconds. Reward: None</t>
  </si>
  <si>
    <t>Quest: Hero Takedowns permanently increase your Attack Speed by 1%, stacking up to 15 times. Reward: Upon reaching 15 Stacks, your attack speed is increased by an additional 10%.</t>
  </si>
  <si>
    <t>Active: Call down a Laser Drill to attack nearby enemies, dealing 142 damage every second. Reactivate to assign a new target. Lasts 22 seconds.</t>
  </si>
  <si>
    <t>Purge Evil</t>
  </si>
  <si>
    <t>Smite deals 30% more damage to Heroes.</t>
  </si>
  <si>
    <t>Protection in Death</t>
  </si>
  <si>
    <t>Even In Death</t>
  </si>
  <si>
    <t>Quest: Every Minion killed near you grants 0.2 Attack Damage, and Takedowns grant 0.5 Attack Damage, to a max of 40 damage.Reward: Upon gaining 40 bonus Attack Damage, you can also activate Seasoned Marksman to increase your Attack Speed by 30% for 3 seconds. 60 second cooldown.</t>
  </si>
  <si>
    <t>Horadric Reforging</t>
  </si>
  <si>
    <t>Swift Retribution</t>
  </si>
  <si>
    <t>Vigorous Strike</t>
  </si>
  <si>
    <t>Basic Attacks heal for 25% of the damage dealt to the primary target.</t>
  </si>
  <si>
    <t>Reciprocate</t>
  </si>
  <si>
    <t>When your shield expires, it explodes for 439 (208 + 4% per level) damage to nearby enemies.</t>
  </si>
  <si>
    <t>Zealotry</t>
  </si>
  <si>
    <t>Increases the duration of Righteousness by 50%, and reduces its cooldown by 2 seconds.</t>
  </si>
  <si>
    <t>Searing Attacks</t>
  </si>
  <si>
    <t>Activate to increase Basic Attack damage by 50% for 5 seconds. Each attack costs 15 Mana.</t>
  </si>
  <si>
    <t>Judgment</t>
  </si>
  <si>
    <t>After 0.75 seconds, charge an enemy Hero dealing 220 (104 + 4% per level) damage and stunning them for 1.5 seconds. Nearby enemies are knocked away and take 110 (52 + 4% per level) damage.</t>
  </si>
  <si>
    <t>Sanctification</t>
  </si>
  <si>
    <t>After 0.5 seconds create a field of holy energy that makes allied Heroes Invulnerable. Lasts 3 seconds.</t>
  </si>
  <si>
    <t>Angelic Absorption</t>
  </si>
  <si>
    <t>Enemies that attack you while shielded grant 138 Health over 3 seconds.</t>
  </si>
  <si>
    <t>Imposing Will</t>
  </si>
  <si>
    <t>Enemies that attack you while shielded have their Attack Speed and Movement Speed slowed by 50% for 2 seconds.</t>
  </si>
  <si>
    <t>Angelic Might</t>
  </si>
  <si>
    <t>Gain 25% increased damage on your next Basic Attack for each target hit by Smite.</t>
  </si>
  <si>
    <t>Blade of Justice</t>
  </si>
  <si>
    <t>Holy Ground</t>
  </si>
  <si>
    <t>Salvation</t>
  </si>
  <si>
    <t>Angel of Justice</t>
  </si>
  <si>
    <t>Increases the cast range of Judgment by 50%, and reduces the cooldown by 40 seconds.</t>
  </si>
  <si>
    <t>Holy Arena</t>
  </si>
  <si>
    <t>Increases duration of Sanctification by 1 second and increases the damage of allies by 25%.</t>
  </si>
  <si>
    <t>Celestial Attunement</t>
  </si>
  <si>
    <t>Reduce the Mana cost of Light of Elune by 15.</t>
  </si>
  <si>
    <t>Empower</t>
  </si>
  <si>
    <t>When Sentinel impacts, your cooldowns are instantly reduced by 2 seconds.</t>
  </si>
  <si>
    <t>Pierce</t>
  </si>
  <si>
    <t>Sentinel no longer stops at the first Hero hit, affecting all enemy Heroes along the path.</t>
  </si>
  <si>
    <t>Protective Shield</t>
  </si>
  <si>
    <t>Activate to shield an allied Hero for 15% of their max Health for 5 seconds.</t>
  </si>
  <si>
    <t>Searing Arrows</t>
  </si>
  <si>
    <t>Activate to increase Basic Attack damage by 50% for 5 seconds. Each attack costs 10 Mana.</t>
  </si>
  <si>
    <t>Quickening Blessing</t>
  </si>
  <si>
    <t>If cast on an ally, Light of Elune also increases their Movement Speed by 25% for 3 seconds.</t>
  </si>
  <si>
    <t>Lunar Blaze</t>
  </si>
  <si>
    <t>Increases the range of Lunar Flare by 40%.</t>
  </si>
  <si>
    <t>Lunar Momentum</t>
  </si>
  <si>
    <t>Shadowstalk</t>
  </si>
  <si>
    <t>Stealth all allied Heroes and heal them for 256 over 8 seconds. At the conclusion of Shadowstalk, they receive a burst of 100 healing.</t>
  </si>
  <si>
    <t>Starfall</t>
  </si>
  <si>
    <t>Deal 91 damage per second and slow enemies by 20% in an area. Lasts 8 seconds.</t>
  </si>
  <si>
    <t>Overflowing Light</t>
  </si>
  <si>
    <t>Trueshot Aura</t>
  </si>
  <si>
    <t>You passively grant 15% Basic Attack damage to nearby allied Heroes.</t>
  </si>
  <si>
    <t>Mark of Mending</t>
  </si>
  <si>
    <t>Basic Attacks against Marked targets heal for 2.5% maximum Health.</t>
  </si>
  <si>
    <t>Ranger</t>
  </si>
  <si>
    <t>Increases width of Sentinel by 100%. Increases damage dealt based on distance traveled, up to a maximum of +200% damage.</t>
  </si>
  <si>
    <t>Shooting Star</t>
  </si>
  <si>
    <t>Lunar Flare does 50% more damage. Hitting an enemy Hero will also refund the mana cost.</t>
  </si>
  <si>
    <t>When using Shadowstalk, you and allied Heroes gain 30% Movement Speed for 8 seconds.</t>
  </si>
  <si>
    <t>Celestial Wrath</t>
  </si>
  <si>
    <t>Starfall can be cast globally. Damage is increased by 30%.</t>
  </si>
  <si>
    <t>Hammer of the Lightbringer</t>
  </si>
  <si>
    <t>Basic Attacks also restore 8 Mana.</t>
  </si>
  <si>
    <t>Fist of Justice</t>
  </si>
  <si>
    <t>Basic Attacks reduce cooldown of Hammer of Justice by 1 second.</t>
  </si>
  <si>
    <t>Wave of Light</t>
  </si>
  <si>
    <t>Each Hero healed by Holy Radiance returns 10 Mana and reduces the cooldown by 1 second, up to a maximum of 50 Mana and 5 seconds.</t>
  </si>
  <si>
    <t>Boundless Conviction</t>
  </si>
  <si>
    <t>Increases the width and length of Holy Radiance by 40%.</t>
  </si>
  <si>
    <t>Beacon of Light</t>
  </si>
  <si>
    <t>You heal yourself for 30% of all healing done to allied Heroes.</t>
  </si>
  <si>
    <t>Burden of Guilt</t>
  </si>
  <si>
    <t>Holy Fire</t>
  </si>
  <si>
    <t>Deal 40 (19 + 4% per level) damage per second to nearby enemies. Basic Attacks against enemy Heroes increase this damage by 20% for 3 seconds. This can stack up to 3 times.</t>
  </si>
  <si>
    <t>Divine Shield</t>
  </si>
  <si>
    <t>Make an allied Hero Invulnerable and increase their Movement Speed by 20% for 3 seconds.</t>
  </si>
  <si>
    <t>Divine Storm</t>
  </si>
  <si>
    <t>Deal 187 damage and stun nearby enemies for 1.75 seconds.</t>
  </si>
  <si>
    <t>Blessed Champion</t>
  </si>
  <si>
    <t>After usding Holy Light, your Basic Attacks heal you and nearby allied Heroes for 20% of the healed amount. Last 5 seconds.</t>
  </si>
  <si>
    <t>Holy Shock</t>
  </si>
  <si>
    <t>Holy Light can be used on an enemy to do 49.88% of its healing amount as damage and with 6 seconds less cooldown. When used this way, your next Holy Light heals for 50% more.</t>
  </si>
  <si>
    <t>Gathering Radiance</t>
  </si>
  <si>
    <t>Each Hero that Holy Radiance passes through increases the healing and damage of your next Holy Radiance by 8%, to a maximum of 80% increase.</t>
  </si>
  <si>
    <t>Righteous Defense</t>
  </si>
  <si>
    <t>Healing a Hero with Holy Light reduces all damage they take by 50% for 2 seconds.</t>
  </si>
  <si>
    <t>Benediction</t>
  </si>
  <si>
    <t>Activate to reduce the Mana cost of your next Basic Ability by 50 and its cooldown by 10 seconds.</t>
  </si>
  <si>
    <t>Bulwark of Light</t>
  </si>
  <si>
    <t>Divine Shield lasts 2 seconds longer and its cooldown is reduced by 20 seconds.</t>
  </si>
  <si>
    <t>Divine Hurricane</t>
  </si>
  <si>
    <t>Redemption</t>
  </si>
  <si>
    <t>Monster Hunter</t>
  </si>
  <si>
    <t>Reduces the Mana cost of Hungering Arrow by 40 and increases the damage it deals to Minions, Mercenaries, and Monsters by 150%.</t>
  </si>
  <si>
    <t>Caltrops</t>
  </si>
  <si>
    <t>Drop 3 Caltrops while Vaulting. Caltrops do 99 (47 + 4% per level) damage and slow enemies by 20% for 1 second.</t>
  </si>
  <si>
    <t>Hot Pursuit</t>
  </si>
  <si>
    <t>When at 10 stacks of Hatred, the Movement Speed bonus increases to 20% total and you gain 4 Mana per second.</t>
  </si>
  <si>
    <t>Puncturing Arrow</t>
  </si>
  <si>
    <t>Punishment</t>
  </si>
  <si>
    <t>Each stack of Hatred increases the damage of Multishot by 4%.</t>
  </si>
  <si>
    <t>Creed of the Hunter</t>
  </si>
  <si>
    <t>Increases Attack Speed by 10%.</t>
  </si>
  <si>
    <t>Arsenal</t>
  </si>
  <si>
    <t>Multishot also fires 3 grenades, which deal 263 (125 + 4% per level) damage. Each enemy Hero hit by a grenade reduces the cooldown of Multishot by 2 seconds.</t>
  </si>
  <si>
    <t>Death Dealer</t>
  </si>
  <si>
    <t>Increases Vault Basic Attack damage bonus from 6% to 14% per stack of Hatred. If this attack kills its victim, the Mana cost and cooldown of Vault are refunded.</t>
  </si>
  <si>
    <t>Repeating Arrow</t>
  </si>
  <si>
    <t>The cooldown for Hungering Arrow is reset when Vault is used.</t>
  </si>
  <si>
    <t>Strafe</t>
  </si>
  <si>
    <t>Rapidly attack nearby visible enemies for 132 (63 + 4% per level) damage per hit, prioritizing heroes over minions. Valla is able to move and use Vault while strafing. Lasts for 4 seconds.</t>
  </si>
  <si>
    <t>Rain of Vengeance</t>
  </si>
  <si>
    <t>Launch a wave of Shadow Beasts that deals 493 (234 + 4% per level) damage and stuns enemies in the target area for 0.5 seconds. Stores 2 charges.</t>
  </si>
  <si>
    <t>Siphoning Arrow</t>
  </si>
  <si>
    <t>You heal for 75% of the damage dealt to Heroes by Hungering Arrow.</t>
  </si>
  <si>
    <t>Tempered by Discipline</t>
  </si>
  <si>
    <t>While at 10 stacks of Hatred, your Basic Attacks heal you for 25% of the damage dealt.</t>
  </si>
  <si>
    <t>Gloom</t>
  </si>
  <si>
    <t>Frost Shot</t>
  </si>
  <si>
    <t>Increases the range of Multishot by 20% and it also slows by 25% for 1.5 seconds.</t>
  </si>
  <si>
    <t>Seething Hatred</t>
  </si>
  <si>
    <t>Basic Attacks now grant 2 stacks of Hatred and the time it takes before Hatred expires is increased by 2 seconds.</t>
  </si>
  <si>
    <t>Manticore</t>
  </si>
  <si>
    <t>Every 3rd Basic Attack against the same target deals an additional 5% of their maximum Health as damage.</t>
  </si>
  <si>
    <t>Vengeance</t>
  </si>
  <si>
    <t>Strafe also fires penetrating bolts in a line for 75 (36 + 4% per level) damage every 0.25 seconds. 25% of the damage you deal with Strafe is returned as Health.</t>
  </si>
  <si>
    <t>Storm of Vengeance</t>
  </si>
  <si>
    <t>Basic Attacks reduce the charge cooldown of Rain of Vengeance by 5 seconds.</t>
  </si>
  <si>
    <t>Rancor</t>
  </si>
  <si>
    <t>Each stack of Hatred also increases Attack Speed by 2%. While at 10 stacks of Hatred, gain an additional 30% Attack Speed.</t>
  </si>
  <si>
    <t>Farflight Quiver</t>
  </si>
  <si>
    <t>Increases your Basic Attack range by 40%.</t>
  </si>
  <si>
    <t>Quest: Hitting an enemy Hero with the initial impact of Hungering Arrow increases its damage by 5, up to a maximum of 100. Reward: After gaining 100 bonus damage, gain an additional 75 bonus damage and Hungering Arrow also bounces 1 additional time.</t>
  </si>
  <si>
    <t>Activate to consume all Hatred, gaining 3 Spell Armor per Hatred consumed for 5 seconds. Passive: Permenantly gain 20 Spell Armor, reducing Ability Damage taken by 20%.</t>
  </si>
  <si>
    <t>Backlash</t>
  </si>
  <si>
    <t>When Bone Armor expires, nearby enemy Heroes take damage equal to 15% of their maximum Health.</t>
  </si>
  <si>
    <t>Shackler</t>
  </si>
  <si>
    <t>While Bone Armor is active, you slow nearby enemies by 35% for 1 Second.</t>
  </si>
  <si>
    <t>Shade</t>
  </si>
  <si>
    <t>While Bone Armor is active, you evade all Basic Attacks, but increases the cooldown of Bone Armor by 20 seconds.</t>
  </si>
  <si>
    <t>Increases Spectral Scythe range by 20%.</t>
  </si>
  <si>
    <t>Jailors</t>
  </si>
  <si>
    <t>Bone Prison spawns 2 Skeletal Warriors that fixate on the emeny for 15 seconds. These do not count towards your Raise Skeleton maximum.</t>
  </si>
  <si>
    <t>Gain 8 Mana when you raise a Skeletal Warrior.</t>
  </si>
  <si>
    <t>Harvest Vitality</t>
  </si>
  <si>
    <t>Cursed Strikes heals you for 145 (69 + 4% per level) for each Hero hit.</t>
  </si>
  <si>
    <t>Weaken</t>
  </si>
  <si>
    <t>Increases Cursed Strikes Attack Speed slow from 50% to 75%.</t>
  </si>
  <si>
    <t>Raising a Skeletal Warrior heals you for 55 (55 + 4% per level).</t>
  </si>
  <si>
    <t>Poison Nova</t>
  </si>
  <si>
    <t>After a short delay, release poisonous missiles that deal 1249 (593 + 4% per level) damage to all enemies hit over 10 seconds.</t>
  </si>
  <si>
    <t>Skeletal Mages</t>
  </si>
  <si>
    <t>Summon 4 Frost Mages in a line that attack nearby enemies for 103 (49 + 4% per level) damage a second and slow them by 30% for 2 seconds. Last up to 15 seconds.</t>
  </si>
  <si>
    <t>Decrepify</t>
  </si>
  <si>
    <t>Spectral Scythe slows enemies by 40% for 3 seconds.</t>
  </si>
  <si>
    <t>Cursed Stike deals an additional 2% of maximum Health as damage to Heroes.</t>
  </si>
  <si>
    <t>Corpse Explosion</t>
  </si>
  <si>
    <t>When Skeletal Warriors die they explode for 116 (55 + 4% per level) damage in a small area. Deals 100% increased damage to non-Heroic enemies.</t>
  </si>
  <si>
    <t>Flowing Wounds</t>
  </si>
  <si>
    <t>Amplify Damage</t>
  </si>
  <si>
    <t>Enemies rooted by Bone Prision become Vunerable for 1.75 seconds, taking 25% increased damage.</t>
  </si>
  <si>
    <t>Skeleton Mastery</t>
  </si>
  <si>
    <t>Increases the maximum Skeletal Warriors you can have to 6 and increases their damage by 50%.</t>
  </si>
  <si>
    <t>Call of the Grave</t>
  </si>
  <si>
    <t>Raised Mage</t>
  </si>
  <si>
    <t>When a nearby enemy Hero dies, a Frost Mage appears from their corpse to fight for you. Also increases thge slow of Frost Mages from 30% to 50%.</t>
  </si>
  <si>
    <t>Mortal Wound</t>
  </si>
  <si>
    <t>Enemies hit by Spectral Scythe receive 75% less healing for 4 seconds.</t>
  </si>
  <si>
    <t>Bone Spear</t>
  </si>
  <si>
    <t>Deal 510 (230 + 4% per level) damage to enemies in a line.</t>
  </si>
  <si>
    <t>Volatile Acid</t>
  </si>
  <si>
    <t>Banelings can travel 50% further before exploding and their damage to Minions, Mercenaries, and Structures is increased by 50%.</t>
  </si>
  <si>
    <t>Corpse Feeders</t>
  </si>
  <si>
    <t>Reduces the cooldown of Infested Drop by 3 seconds and Roachlings take 40% less damage from non-Heroic sources.</t>
  </si>
  <si>
    <t>Infest</t>
  </si>
  <si>
    <t>Nearby Ranged Minions deal an additional 200% damage, plus an additional 1% per 1000 Siege damage Zagara has dealt. Can be toggled on or off.</t>
  </si>
  <si>
    <t>Envenomed Spines</t>
  </si>
  <si>
    <t>Medusa Blades</t>
  </si>
  <si>
    <t>Basic Attacks deal 33% damage to three nearby targets.</t>
  </si>
  <si>
    <t>Serrated Spines</t>
  </si>
  <si>
    <t>Baneling Massacre</t>
  </si>
  <si>
    <t>Zagara gains 2 additional charges of Banelings.</t>
  </si>
  <si>
    <t>Viscous Acid</t>
  </si>
  <si>
    <t>Banelings slow enemies by 20% for 1.5 seconds.</t>
  </si>
  <si>
    <t>Bile Drop</t>
  </si>
  <si>
    <t>Quest: Increases the impact damage of Infested Drop by 50%. Each Hero hit by the impact damage of Infested Drop increases the bonus damage by another 10%. Reward: Upon reaching 10% bonus damage, increases the impact radius of Infested Drop by 20%.</t>
  </si>
  <si>
    <t>Devouring Maw</t>
  </si>
  <si>
    <t>Summon a Devouring Maw that devours enemies for 4 seconds. Devoured enemies cannot fight and take 176 (84 + 3% per level) damage per second.Usable on Unstoppable enemies.</t>
  </si>
  <si>
    <t>Nydus Network</t>
  </si>
  <si>
    <t>Hydralisk Transfusion</t>
  </si>
  <si>
    <t>Protective Coating</t>
  </si>
  <si>
    <t>While on Creep, Zagara takes 20% less damage.</t>
  </si>
  <si>
    <t>Brood Expansion</t>
  </si>
  <si>
    <t>Reduces the cooldown of Hunter Killer by 6 seconds.</t>
  </si>
  <si>
    <t>Corrosive Saliva</t>
  </si>
  <si>
    <t>When used against Heroes, Hunter Killers deal additional damage equal to 2% of their maximum Health.</t>
  </si>
  <si>
    <t>Mutalisk</t>
  </si>
  <si>
    <t>Your Hunter Killer now spawns a Mutalisk. Mutalisks have a bounce attack and do not have a timed life.</t>
  </si>
  <si>
    <t>Tyrant Maw</t>
  </si>
  <si>
    <t>Devouring Maw deals 50% more damage and when you get a Takedown reduce its cooldown by 25 seconds.</t>
  </si>
  <si>
    <t>Endless Creep</t>
  </si>
  <si>
    <t>The cast range for Creep Tumor is increased by 2000%. Creep Tumors now last 600 seconds. While on Creep, Zagara gains an additional 20% Movement Speed.</t>
  </si>
  <si>
    <t>Greater Cleave</t>
  </si>
  <si>
    <t>Increases the radius of Cleave by 33%.</t>
  </si>
  <si>
    <t>Vorpal Blade</t>
  </si>
  <si>
    <t>Activate to teleport to the last non-structure target you attacked within 3 seconds.</t>
  </si>
  <si>
    <t>Shadow Hunter</t>
  </si>
  <si>
    <t>Grim Task</t>
  </si>
  <si>
    <t>Rending Cleave</t>
  </si>
  <si>
    <t>Cleave deals an additional 40% damage over 3 seconds.</t>
  </si>
  <si>
    <t>Combo Slash</t>
  </si>
  <si>
    <t>Wormhole</t>
  </si>
  <si>
    <t>For 2 seconds, you can activate Blink again to return to the point where it was cast from.</t>
  </si>
  <si>
    <t>Slip into Shadow</t>
  </si>
  <si>
    <t>Blink gains an additional charge, but its cooldown is increased by 8 seconds.</t>
  </si>
  <si>
    <t>Seeker in the Dark</t>
  </si>
  <si>
    <t>Singularity Spike takes 50% longer to explode. It can be reactivated to teleport to the target, granting 30% increased Move Speed for 3 seconds.</t>
  </si>
  <si>
    <t>Shadow Assault</t>
  </si>
  <si>
    <t>Your Basic Attacks cause you to charge at enemies and have 20% increased Attack Speed. Lasts for 6 seconds.</t>
  </si>
  <si>
    <t>Void Prison</t>
  </si>
  <si>
    <t>Slows time in an area to a near standstill, making allies and enemies invulnerable and unable to act for 5 seconds. You are not affected.</t>
  </si>
  <si>
    <t>Shroud of Adun</t>
  </si>
  <si>
    <t>Zeratul gains a shield equal to 15% of his Maximum Health over 5 seconds while under Permanent Cloak.</t>
  </si>
  <si>
    <t>Every 30 seconds, gain 50 Spell Armor against the next Ability and subsequent Abilities for 1.5 seconds, reducing the damage taken by 50%. Can be toggled to allow or prevent this talent from triggering.</t>
  </si>
  <si>
    <t>Mending Strikes</t>
  </si>
  <si>
    <t>Basic Attacks heal for 35% of the damage dealt.</t>
  </si>
  <si>
    <t>Master Warp-Blade</t>
  </si>
  <si>
    <t>Every third consecutive Basic Attack against the same target deals 125% bonus damage.</t>
  </si>
  <si>
    <t>Void Slash</t>
  </si>
  <si>
    <t>If Cleave hits more than one enemy Hero, it deals 50% increased damage and its cooldown is reduced by 3 seconds.</t>
  </si>
  <si>
    <t>Sentenced to Death</t>
  </si>
  <si>
    <t>Deal 50% increased damage to enemies while they have a Singularity Spike attached to them.</t>
  </si>
  <si>
    <t>Nerazim Fury</t>
  </si>
  <si>
    <t>Shadow Assault grants 30% Life Steal, and the duration is increased by 50%.</t>
  </si>
  <si>
    <t>Protective Prison</t>
  </si>
  <si>
    <t>Allies are no longer affected by Void Prison, and enemies are slowed by 50% for 3 seconds once Void Prison ends.</t>
  </si>
  <si>
    <t>Quest: Gather Regeneration Globes to lower the Mana cost of Blink by 2 . Reward: Upon gathering 20 Regeneration Globes, Basic Attacks reduce the cooldown of Blink by 1 second.</t>
  </si>
  <si>
    <t>Quest: Hero Takedowns increase Ability Power by 5% up to 50% . This bonus Ability Power is lost on death. Reward: None</t>
  </si>
  <si>
    <t>Counter-Strike</t>
  </si>
  <si>
    <t>Alarak becomes Protected and channels for 1 second. If an enemy Hero attacked Alarak during that time, Alarak sends a shockwave forward that deals 548 (260 + 4% per level) damage.</t>
  </si>
  <si>
    <t>Dissonance</t>
  </si>
  <si>
    <t>Psychokinesis</t>
  </si>
  <si>
    <t>Increases the damage of Telekinesis by 100%.</t>
  </si>
  <si>
    <t>Hindered Motion</t>
  </si>
  <si>
    <t>Reduces the damage bonus of Sadism by 10% but Telekinesis slows enemies by 40% for 2 seconds.</t>
  </si>
  <si>
    <t>Pure Malice</t>
  </si>
  <si>
    <t>When a nearby Ally Hero dies, your Sadism bonus is increased by 8%, stacking up to 40%. This bonus Sadism cannot be consumed by Hasty Bargain and is lost on death.</t>
  </si>
  <si>
    <t>Quick Mind</t>
  </si>
  <si>
    <t>Reduces the damage bonus of Sadism by 10% and the cooldown of Telekinesis by 6 seconds.</t>
  </si>
  <si>
    <t>Projected Force</t>
  </si>
  <si>
    <t>Reduces the damage bonus of Sadism by 10% but increases the range of Telekinesis by 25%.</t>
  </si>
  <si>
    <t>Sustaining Power</t>
  </si>
  <si>
    <t>Increases the healing you receive from dealing damage to Heroes with Lightning Surge by 30%.</t>
  </si>
  <si>
    <t>Negatively Charged</t>
  </si>
  <si>
    <t>Increases damage dealt to enemies hit by the center beam of Lightning Surge by 100%, but does not generate any additional healing.</t>
  </si>
  <si>
    <t>Deadly Charge</t>
  </si>
  <si>
    <t>After channeling, Alarak charges forward dealing 439 (208 + 4% per level) damage to all enemies in the path. Distance is increased based on the amount of time channeled, up to 1.625 seconds.Issuing a Move order while this is channeling will cancel it at no cost. Taking damage will interrupt the channeling.This ability will take over your Trait button.</t>
  </si>
  <si>
    <t>Channel for 1 second and become Protected. After, if an enemy Hero attacked you, send a shockwave that deals 548 (260 + 4% per level) damage.This ability will take over your Trait button.</t>
  </si>
  <si>
    <t>Last Laugh</t>
  </si>
  <si>
    <t>Hasty Bargain</t>
  </si>
  <si>
    <t>Activate to permanently reduce your Sadism bonus by 4% and reset the cooldowns of your Basic Abilities.</t>
  </si>
  <si>
    <t>Without Effort</t>
  </si>
  <si>
    <t>Telekinesis no longer costs Mana.</t>
  </si>
  <si>
    <t>Applied Force</t>
  </si>
  <si>
    <t>Reduces the damage bonus of Sadism by 10% but Telekinesis pushes 20% further.</t>
  </si>
  <si>
    <t>Power Conduit</t>
  </si>
  <si>
    <t>Reduces the Mana cost of Lightning Surge by 10.</t>
  </si>
  <si>
    <t>Double Cross</t>
  </si>
  <si>
    <t>Increases the range of Discord Strike by 25% and also hits in a line perpendicular to the forward strike.</t>
  </si>
  <si>
    <t>Reckless Strike</t>
  </si>
  <si>
    <t>Reduces the delay of Discord Strike by 0.25 seconds but if it hits an enemy you become Vulnerable, causing Alarak to take 25% more damage for 2 seconds.</t>
  </si>
  <si>
    <t>Cycle of Discord</t>
  </si>
  <si>
    <t>Reduces the cooldown of Discord Strike by 2 seconds. If a Discord Strike hits no enemies, the mana cost is refunded and cooldown reduced by 3 seconds.</t>
  </si>
  <si>
    <t>Extended Lightning</t>
  </si>
  <si>
    <t>Increases Lightning Surge range by 20%.</t>
  </si>
  <si>
    <t>Chaos Reigns</t>
  </si>
  <si>
    <t>Endless Energy</t>
  </si>
  <si>
    <t>Thunderstruck</t>
  </si>
  <si>
    <t>Reduces the damage bonus of Sadism by 10%, but Lightning Surge slows enemies hit between you and the victim by 70% for 2 seconds.</t>
  </si>
  <si>
    <t>After channeling, Alarak charges forward dealing 439 (208 + 4% per level) damage to all enemies in the path. Distance is increased based on the amount of time channeled, up to 1.625 seconds.Issuing a Move order while this is channeling will cancel it at no cost. Taking damage will interrupt the channeling.</t>
  </si>
  <si>
    <t>Quest: Each time Discord Strike hits a Hero its damage increases by 3 up to 45. Reward: After hitting 15 Heroes, increase its damage by an additional 45.</t>
  </si>
  <si>
    <t>Quest: Heroes hit between you and the victim permanently decreases the cooldown of Lightning Surge by 0.2 seconds, up to 2 seconds. Reward: None</t>
  </si>
  <si>
    <t>Swift Sweep</t>
  </si>
  <si>
    <t>Increases the cast speed of Sacred Sweep by 50%.</t>
  </si>
  <si>
    <t>Increasing Clarity</t>
  </si>
  <si>
    <t>Quest: Every time Sacred Sweep hits a Hero in the center, increase the center damage by 3 up to 60. Reward: After hitting 20 Heroes, the center damage bonus is doubled to 120.</t>
  </si>
  <si>
    <t>Righteous Assault</t>
  </si>
  <si>
    <t>Reduces the cooldown of Sacred Sweep by 2 seconds for each enemy Hero hit, up to a total of 4 seconds.</t>
  </si>
  <si>
    <t>Searing Light</t>
  </si>
  <si>
    <t>Ray of Heaven also deals damage to enemies in the area equal to 30% of the energy consumed.</t>
  </si>
  <si>
    <t>Majestic Span</t>
  </si>
  <si>
    <t>Increase Sacred Sweep radius</t>
  </si>
  <si>
    <t>Heavy Burden</t>
  </si>
  <si>
    <t>The enemy will be slowed by 35% for 3 seconds if Detainment Strike stuns the enemy.</t>
  </si>
  <si>
    <t>Repeated Offense</t>
  </si>
  <si>
    <t>Quest: Every time Detainment Strike stuns a Hero, increase the stun damage by 10 up to 100.Reward: After stunning 10 Heroes, increase the damage by an additional 100.</t>
  </si>
  <si>
    <t>Bursting Light</t>
  </si>
  <si>
    <t>Reduces the cooldown of Ray of Heaven by 2 seconds.</t>
  </si>
  <si>
    <t>Glimmer of Hope</t>
  </si>
  <si>
    <t>Collecting a Regeneration Globe reduces the cost of your next Ray of Heaven by 35%.</t>
  </si>
  <si>
    <t>Energized Cord</t>
  </si>
  <si>
    <t>Empathic Link</t>
  </si>
  <si>
    <t>Auriel stores 25% of damage taken by allies with Bestow Hope.</t>
  </si>
  <si>
    <t>Resurrect</t>
  </si>
  <si>
    <t>Channel on the spirit of a dead ally for 3 seconds, bringing them back to life with 50% of their maximum health at the location where they died.</t>
  </si>
  <si>
    <t>Crystal Aegis</t>
  </si>
  <si>
    <t>Place an allied Hero into Stasis for 2 seconds. Upon expiration, Crystal Aegis deals 592 (281 + 4% per level) damage to all nearby enemies.</t>
  </si>
  <si>
    <t>Blinding Flash</t>
  </si>
  <si>
    <t>Enemies hit by the center area of Sacred Sweep are blinded for 4 seconds.</t>
  </si>
  <si>
    <t>Converging Force</t>
  </si>
  <si>
    <t>Enemies hit by the outer area are pushed slightly toward the center.</t>
  </si>
  <si>
    <t>Piercing Lash</t>
  </si>
  <si>
    <t>Detainment Strike now pierces and hits all enemies in a line.</t>
  </si>
  <si>
    <t>Repelling Strike</t>
  </si>
  <si>
    <t>Enemies hit by Detainment Strike are knocked back 35% farther.</t>
  </si>
  <si>
    <t>Reservoir of Hope</t>
  </si>
  <si>
    <t>Quest: Each maximum energy Ray of Heaven Auriel casts increases the maximum amount of energy that can be stored by 75.</t>
  </si>
  <si>
    <t>Will of Heaven</t>
  </si>
  <si>
    <t>Allies with Bestow Hope gain 20% Attack Speed.</t>
  </si>
  <si>
    <t>Wrath of Heaven</t>
  </si>
  <si>
    <t>Allies with Bestow Hope gain 10% Ability Power.</t>
  </si>
  <si>
    <t>Light Speed</t>
  </si>
  <si>
    <t>Diamond Resolve</t>
  </si>
  <si>
    <t>When Crystal Aegis expires, it grants a shield that reduces damage taken by 50% for 4 seconds.</t>
  </si>
  <si>
    <t>Angelic Flight</t>
  </si>
  <si>
    <t>Activate to fly to a chosen location.</t>
  </si>
  <si>
    <t>Shield of Hope</t>
  </si>
  <si>
    <t>Activate to grant all nearby allied Heroes a shield for 3 seconds equal to 50% of the amount of Health they are missing.</t>
  </si>
  <si>
    <t>Cooldown: 45</t>
  </si>
  <si>
    <t>We Move Together</t>
  </si>
  <si>
    <t>Maximum Tempo</t>
  </si>
  <si>
    <t>Accelerando</t>
  </si>
  <si>
    <t>Increase the Movement Speed bonus of Wall Ride from 20% to 40% over 4 seconds, and maintain that speed as long as you maintain the Wall Riding movement speed bonus.</t>
  </si>
  <si>
    <t>Slip</t>
  </si>
  <si>
    <t>Increase the Movement Speed bonus of Wall Ride to 70% for 1 second when near or passing through an enemy Hero.</t>
  </si>
  <si>
    <t>Subwoofer</t>
  </si>
  <si>
    <t>Increase the knockback of Soundwave by up to 50%, based on how close to you they are.</t>
  </si>
  <si>
    <t>Off the Wall</t>
  </si>
  <si>
    <t>If you hit an enemy Hero while you have the Wall Riding Movement Speed bonus, reduce the cooldown by 3 seconds.</t>
  </si>
  <si>
    <t>Chase the Bass</t>
  </si>
  <si>
    <t>Party Mix</t>
  </si>
  <si>
    <t>Loudspeaker</t>
  </si>
  <si>
    <t>If your aura is currently affecting 2 or more allies when you cast Amp It Up, increase its radius by 50% for the duration.</t>
  </si>
  <si>
    <t>Boombox</t>
  </si>
  <si>
    <t>Place a permanent killable ward on the ground that gives nearby allies your Crossfade and Amp It Up auras (auras do not stack). 20 second cooldown. Max 1.</t>
  </si>
  <si>
    <t>Sound Barrier</t>
  </si>
  <si>
    <t>After a 1 second delay, grant yourself and all nearby allied Heroes an X point shield that decays to 0 over 6 seconds.</t>
  </si>
  <si>
    <t>Reverse Amp</t>
  </si>
  <si>
    <t>Beat Mixing</t>
  </si>
  <si>
    <t>Gain a permanent x point shield 1.5 seconds after switching tracks. Switching tracks also immediately clears any current shield from this talent.</t>
  </si>
  <si>
    <t>You cannot be slowed or rooted while you have the Wall Riding Movement Speed bonus.</t>
  </si>
  <si>
    <t>Hard Style</t>
  </si>
  <si>
    <t>Back in the Mix</t>
  </si>
  <si>
    <t>Heal yourself for x after exiting from an enemy Stun, Silence, or Stasis. This effect cannot happen more than once every 10 seconds.</t>
  </si>
  <si>
    <t>Heliotropics</t>
  </si>
  <si>
    <t>Soundwave also Blinds enemies for 2.5 seconds.</t>
  </si>
  <si>
    <t>Rejuvenescência</t>
  </si>
  <si>
    <t>Bring it Together</t>
  </si>
  <si>
    <t>Up the Frequency</t>
  </si>
  <si>
    <t>Bossa Nova</t>
  </si>
  <si>
    <t>Reduce the cooldown of Sound Barrier to 30 seconds, but the shield now decays over 4 seconds (from 6).</t>
  </si>
  <si>
    <t>Nonstop Remix</t>
  </si>
  <si>
    <t>The duration of Reverse Amp is paused while it effects 2 or more enemy Heroes.</t>
  </si>
  <si>
    <t>Using Crossfade while Amp It Up is active resets the duration of Amp It Up back to its max duration. This can only occur once per cast.</t>
  </si>
  <si>
    <t>Synaesthesia Auditiva</t>
  </si>
  <si>
    <t>Casting Amp It Up removes all Stun, Slow, and Root effects from nearby allies, and all Slow and Root effects on Lúcio.</t>
  </si>
  <si>
    <t>Increase the passive movement speed bonus of Speed Boost to 20% (from 15%).</t>
  </si>
  <si>
    <t>If your current Crossfade track is Speed Boost, slow nearby enemy Heroes by 40% for 3 seconds. If your current Crossfade track is Healing Boost, damage nearby enemy Heroes for X damage per second for 3 seconds.</t>
  </si>
  <si>
    <t>Quest: Kill 5 enemy Heroes while Speed Boost is active. Reward: Increase Amped Speed Boost to 60%.</t>
  </si>
  <si>
    <t>Quest: After hitting 20 enemy Heroes with Soundwave, increase the arc by 50% and the range by 20%.</t>
  </si>
  <si>
    <t>Quest: Support allies with your aura for a total of 8 minutes (supporting multiple allies rewards more time). Reward: Increase its radius by 25%.</t>
  </si>
  <si>
    <t>Sulfuras Hungers</t>
  </si>
  <si>
    <t>Shifting Meteor</t>
  </si>
  <si>
    <t>Engulfing Flame</t>
  </si>
  <si>
    <t>Fire Ward</t>
  </si>
  <si>
    <t>When Living Meteor hits an Enemy Hero, you gain a charge of Spell Block, reducing damage from the next enemy ability against you by 50%. Can hold up to 2 charges.</t>
  </si>
  <si>
    <t>Slow Burn</t>
  </si>
  <si>
    <t>Blast Wave slows enemies hit by 40% for 2 seconds.</t>
  </si>
  <si>
    <t>Catching Fire</t>
  </si>
  <si>
    <t>Hand of Ragnaros</t>
  </si>
  <si>
    <t>If Empower Sulfuras hits at least 2 enemy Heroes, it restores 10 Mana and its cooldown is reduced by 2 seconds.</t>
  </si>
  <si>
    <t>Molten Power</t>
  </si>
  <si>
    <t>Each enemy hero hit by Living Meteor increases the damage of your next Living Meteor by 15%, up to a maximum of 75%.</t>
  </si>
  <si>
    <t>Superheated</t>
  </si>
  <si>
    <t>When you cast Blast Wave on yourself, it deals 100% increased damage.</t>
  </si>
  <si>
    <t>Sulfuras Smash</t>
  </si>
  <si>
    <t>Hurl Sulfuras at the target area. It lands after 0.75 seconds, dealing 187 damage (+4% per level). Enemies in the center take an additional 374 damage (+4% per level) and are stunned for 0.5 seconds.</t>
  </si>
  <si>
    <t>Lava Wave</t>
  </si>
  <si>
    <t>Release a wave of lava from your Core that travels down the targeted lane, dealing 603 damage (+4% per level) per second to non-Structure enemies in its path and instantly killing enemy Minions. Damage increased by 33% versus Heroes.</t>
  </si>
  <si>
    <t>Cauterized Wounds</t>
  </si>
  <si>
    <t>Empower Sulfuras heals you for an additional 60% of the damage dealt to heroes over 2 seconds.</t>
  </si>
  <si>
    <t>Tempered Flame</t>
  </si>
  <si>
    <t>When Blast Wave damages an enemy Hero, you gain a Shield equal to 100% of the damage dealt for 3 seconds.</t>
  </si>
  <si>
    <t>Resilient Flame</t>
  </si>
  <si>
    <t>While Stunned gain 50 Armor for 3 seconds reducing damage taken by 50%.</t>
  </si>
  <si>
    <t>Empower Sulfuras burns enemy Heroes for 6% of their maximum Health over 3 seconds. This additional damage does not heal you.</t>
  </si>
  <si>
    <t>Meteor Bomb</t>
  </si>
  <si>
    <t>Living Meteor explodes at the end of its path, dealing 229 damage (+4% per level) to all nearby enemies.</t>
  </si>
  <si>
    <t>Blast Echo</t>
  </si>
  <si>
    <t>After Blast Wave explodes, cast another Blast Wave on yourself. Can only occur once per cast.</t>
  </si>
  <si>
    <t>Flames of Sulfuron</t>
  </si>
  <si>
    <t>Sulfuras Smash slows enemies by 50% for 2 seconds and enemies in the center are stunned for an additional 0.5 seconds.</t>
  </si>
  <si>
    <t>Lava Surge</t>
  </si>
  <si>
    <t>Lava Wave gains an additional charge and its cooldown is reduced by 10 seconds.</t>
  </si>
  <si>
    <t>Heroic Difficulty</t>
  </si>
  <si>
    <t>Your Health and damage are increased by 25% while in Molten Core, and its cooldown is reduced by 50 seconds.</t>
  </si>
  <si>
    <t>Submerge</t>
  </si>
  <si>
    <t>Activate to place yourself in stasis and heal for 624 Health (+4% per level) over 3 seconds.</t>
  </si>
  <si>
    <t>Quest: Every time you kill a Minion with Empower Sulfuras, its damage is increased by 1, up to 30. Reward: After killing 30 Minions, increase its damage by an additional 90.</t>
  </si>
  <si>
    <t>Quest: Hit 75 heroes with Living Meteor. Reward: Duration is increased by 30%, and you can recast the Ability to change its direction once per cast.</t>
  </si>
  <si>
    <t>Quest: Gathering a Regeneration Globe increases your Health Regeneration by 2 per second, up to 30. Reward: After gathering 15 Regeneration Globes, you can activate Catching Fire to gain 25 Armor for 3 seconds, reducing damage taken by 25%.</t>
  </si>
  <si>
    <t>Cooldown: 90</t>
  </si>
  <si>
    <t>Way of Illusion</t>
  </si>
  <si>
    <t>Way of the Blade</t>
  </si>
  <si>
    <t>Critical Strike now happens every 3rd Basic Attack and deals an additional 25% of your Basic Attack damage.</t>
  </si>
  <si>
    <t>Way of the Wind</t>
  </si>
  <si>
    <t>Mirage</t>
  </si>
  <si>
    <t>Mirror Image grants you and your Images 40 Spell Armor against the next 2 sources of Spell damage, reducing damage taken by 40%.</t>
  </si>
  <si>
    <t>One with the Wind</t>
  </si>
  <si>
    <t>While Stealthed by Wind Walk, gain 60 Armor, taking 60% reduced damage from all sources.</t>
  </si>
  <si>
    <t>Deflection</t>
  </si>
  <si>
    <t>Advancing Strikes grants 25 Physical Armor against Hero Basic Attacks, reducing damage taken by 25%.</t>
  </si>
  <si>
    <t>Burning Blade</t>
  </si>
  <si>
    <t>Critical Strikes unleash a burst of flame, dealing an additional 65% of your Basic Attack damage to the target and nearby enemies.</t>
  </si>
  <si>
    <t>Phantom Pain</t>
  </si>
  <si>
    <t>Critical Strikes deal an additional 40% of your Basic Attack damage for each Image you have active.</t>
  </si>
  <si>
    <t>Crushing Blows</t>
  </si>
  <si>
    <t>Critical Strike now has two charges, and Critical Strikes deal an additional 25% of your Basic Attack damage.</t>
  </si>
  <si>
    <t>Bladestorm</t>
  </si>
  <si>
    <t>Become an Unstoppable whirlwind of death, dealing 548 (260 + 4% per level) damage per second to nearby enemies for 4 seconds.</t>
  </si>
  <si>
    <t>Illusion Master</t>
  </si>
  <si>
    <t>Mirrored Steel</t>
  </si>
  <si>
    <t>Basic Attacks against Heroes reduce the cooldown of Mirror Image by 1 second.</t>
  </si>
  <si>
    <t>Kawarimi</t>
  </si>
  <si>
    <t>Wind Walk creates an Image at your location that will continue whatever you were doing.</t>
  </si>
  <si>
    <t>Shukuchi</t>
  </si>
  <si>
    <t>Merciless Strikes</t>
  </si>
  <si>
    <t>Basic Attacks against slowed, rooted, or stunned targets are always Critical Strikes.</t>
  </si>
  <si>
    <t>Harsh Winds</t>
  </si>
  <si>
    <t>Attacking a Hero from Wind Walk causes them to take 30% increased damage from you and your Images for 3 seconds.</t>
  </si>
  <si>
    <t>Press the Attack</t>
  </si>
  <si>
    <t>While Advancing Strikes is active, Basic Attacks increase your Attack Speed by 15%, up to 60%.</t>
  </si>
  <si>
    <t>Dance of Death</t>
  </si>
  <si>
    <t>Your Images use Bladestorm when you do.</t>
  </si>
  <si>
    <t>Three Blade Style</t>
  </si>
  <si>
    <t>Your Images gain an additional 50% of your Health, and last up to 36 seconds.</t>
  </si>
  <si>
    <t>Wind Strider</t>
  </si>
  <si>
    <t>Advancing Strikes grants an additional 15% bonus Movement Speed, and its duration is increased by 2 seconds.</t>
  </si>
  <si>
    <t>Quest: Every time one of your Images Critically Strikes a Hero, gain 0.5 Attack Damage, up to 20. Reward: After hitting 40 Heroes, gain an additional 20 Attack Damage.</t>
  </si>
  <si>
    <t>Switch places with the target Mirror Image, removing most negative effects from Samuro and the target Mirror Image. Passive: You can control Mirror Images separately or as a group, and they deal an additional 10% of your damage.</t>
  </si>
  <si>
    <t>Overpower</t>
  </si>
  <si>
    <t>Shield Wall</t>
  </si>
  <si>
    <t>Parry now grants Protected, preventing all incoming damage for the duration.</t>
  </si>
  <si>
    <t>Warbringer</t>
  </si>
  <si>
    <t>Charge now stuns the target for 1 second instead of slowing them, and its cooldown is reduced by 6 seconds.</t>
  </si>
  <si>
    <t>Live by the Sword</t>
  </si>
  <si>
    <t>Increase the duration of Parry by 40%. If you block at least 2 Hero Basic Attacks with a single Parry, its cooldown is reduced by 2 seconds.</t>
  </si>
  <si>
    <t>Second Wind</t>
  </si>
  <si>
    <t>Basic Attacks heal Varian for 1.17% of his maximum Health. While below 50% Health, they also heal him for 50% of the damage dealt.</t>
  </si>
  <si>
    <t>Victory Rush</t>
  </si>
  <si>
    <t>Taunt</t>
  </si>
  <si>
    <t>Force the target Hero to attack Varian for 1.25 seconds.</t>
  </si>
  <si>
    <t>Colossus Smash</t>
  </si>
  <si>
    <t>Smash a target enemy, dealing 410 (195 + 4% per level) damage and making them Vulnerable for 3 seconds.</t>
  </si>
  <si>
    <t>Twin Blades of Fury</t>
  </si>
  <si>
    <t>Juggernaut</t>
  </si>
  <si>
    <t>Charge deals bonus damage to Heroes equal to 6% of their maximum Health.</t>
  </si>
  <si>
    <t>Mortal Strike</t>
  </si>
  <si>
    <t>Heroes hit by Heroic Strike receive 40% reduced healing for 4 seconds.</t>
  </si>
  <si>
    <t>Shattering Throw</t>
  </si>
  <si>
    <t>Activate to throw a sword that deals 110 (52 + 4% per level) damage to the target, and up to 3068 (1456 + 4% per level) bonus damage to their Shields.Passive: Basic Attacks deal up to 200% bonus damage to Shields.</t>
  </si>
  <si>
    <t>Banner of Stormwind</t>
  </si>
  <si>
    <t>Activate to place a Banner that grants 25% increased Movement Speed to nearby allied Heroes. Lasts 12 seconds.</t>
  </si>
  <si>
    <t>Banner of Ironforge</t>
  </si>
  <si>
    <t>Activate to place a Banner that grants 25 Armor to nearby allied Heroes, reducing damage taken by 25%. Lasts 12 seconds.</t>
  </si>
  <si>
    <t>Banner of Dalaran</t>
  </si>
  <si>
    <t>Activate to place a Banner that grants 20% increased Ability Power to nearby allied Heroes. Lasts 12 seconds.</t>
  </si>
  <si>
    <t>Vigilance</t>
  </si>
  <si>
    <t>Being hit by a Hero Basic Attack reduces the cooldown of Taunt by 1 second.</t>
  </si>
  <si>
    <t>Master at Arms</t>
  </si>
  <si>
    <t>Colossus Smash affects all enemies near the target, and its cooldown is reduced by 10 seconds.</t>
  </si>
  <si>
    <t>Frenzy</t>
  </si>
  <si>
    <t>Glory to the Alliance</t>
  </si>
  <si>
    <t>Banner now also increases health regeneration and all healing received for nearby allied Heroes by 50%, and the cooldown is reduced by 20 seconds.</t>
  </si>
  <si>
    <t>Demoralizing Shout</t>
  </si>
  <si>
    <t>Activate to demoralize nearby enemy Heroes, reducing damage they deal by 25% for 5 seconds.</t>
  </si>
  <si>
    <t>Quest: Hit 50 Heroes with Basic Attacks. Quest Participate in 5 Hero Takedowns. Quest: Gather 20 Regeneration Globes. Reward: Completing a Quest grants 10 Base Attack Damage. Completing all 3 Quests grants an additional 30 Base Attack Damage.</t>
  </si>
  <si>
    <t>Demolitions Expert</t>
  </si>
  <si>
    <t>Quest: For every 5 enemy Heroes hit by Particle Grenade, its recharge rate lowers by 0.375 seconds, up to 3 seconds.Reward: Once Particle Grenade has hit 40 enemy Heroes, its radius is increased by 15%.</t>
  </si>
  <si>
    <t>Together We Are Strong</t>
  </si>
  <si>
    <t>Every 22 (11 + 4% per level) damage done by allies while under Shield Ally contributes 1 Energy, up to 25 Energy per shield.</t>
  </si>
  <si>
    <t>Feel the Heat</t>
  </si>
  <si>
    <t>Maximum Charge</t>
  </si>
  <si>
    <t>Regen Globes now instantly grant 20 Energy.Quest: Spend 120 seconds at or above 50 Energy.Reward: Gain an additional 20 maximum Energy.</t>
  </si>
  <si>
    <t>I Am the Strongest</t>
  </si>
  <si>
    <t>Personal Barrier absorbs an additional 307 (146 + 4% per level) damage.</t>
  </si>
  <si>
    <t>Give Me Twenty</t>
  </si>
  <si>
    <t>Quest: Regeneration Globes increase Shield Ally absorb amount by 15, up to 300 permanently. Reward: After collecting 20 Regen Globes, permanently reduce the cooldown of Shield Ally by 3 seconds.</t>
  </si>
  <si>
    <t>Speed Barrier</t>
  </si>
  <si>
    <t>Defensive Shielding</t>
  </si>
  <si>
    <t>Upon expiration or breaking, Personal Barrier and Shield Ally reduce the damage of the next 2 Hero Basic Attacks within 12 seconds by 75%.</t>
  </si>
  <si>
    <t>Pinpoint Accuracy</t>
  </si>
  <si>
    <t>Particle Grenade deals 40% more damage to enemies hit by the center of the blast.</t>
  </si>
  <si>
    <t>Explosive Barrier</t>
  </si>
  <si>
    <t>Upon expiration or breaking, Personal Barrier explodes, dealing 220 (104 + 4% per level) damage to nearby enemies.</t>
  </si>
  <si>
    <t>To the Limit</t>
  </si>
  <si>
    <t>While above 50 Energy your Basic Attack size is increased by 35%.</t>
  </si>
  <si>
    <t>Hit Me</t>
  </si>
  <si>
    <t>Graviton Surge</t>
  </si>
  <si>
    <t>Launch a gravity bomb that detonates after 1 second and draws enemy Heroes toward the center for 2.5 seconds.</t>
  </si>
  <si>
    <t>Expulsion Zone</t>
  </si>
  <si>
    <t>Launch a gravity bomb that deals 272 (129 + 4% per level) damage and creates an expulsion zone for 3.5 seconds. Enemies who enter the affected area are knocked back and have their Movement Speed reduced by 50% for 1 second.</t>
  </si>
  <si>
    <t>Unstoppable Competitor</t>
  </si>
  <si>
    <t>Personal Barrier makes you Unstoppable for up to 1.5 seconds.</t>
  </si>
  <si>
    <t>Spell Barrier</t>
  </si>
  <si>
    <t>Upon expiration or breaking, Personal Barrier grants a Spell Shield that reduces Ability Damage taken by 75% for 3 seconds.</t>
  </si>
  <si>
    <t>Endurance Training</t>
  </si>
  <si>
    <t>While at or above 75 Energy, Zarya gains 20 Armor, reducing all damage taken by 20%.</t>
  </si>
  <si>
    <t>Pain is Temporary</t>
  </si>
  <si>
    <t>Plasma Shock</t>
  </si>
  <si>
    <t>Particle Grenade slows Movement Speed by 35% for 1 second to enemies near the center.</t>
  </si>
  <si>
    <t>Cleansing Shield</t>
  </si>
  <si>
    <t>Shield Ally removes all disabling effects.</t>
  </si>
  <si>
    <t>Gain Train</t>
  </si>
  <si>
    <t>Shield Ally now grants an untalented shield to a nearby ally upon impact.</t>
  </si>
  <si>
    <t>Born in Battle</t>
  </si>
  <si>
    <t>Gravity Kills</t>
  </si>
  <si>
    <t>Clear Out</t>
  </si>
  <si>
    <t>Grenadier</t>
  </si>
  <si>
    <t>All Particle Grenade charges are returned at once.</t>
  </si>
  <si>
    <t>Unyielding Defender</t>
  </si>
  <si>
    <t>Activate to reset the cooldown of Personal Barrier and Shield Ally.</t>
  </si>
  <si>
    <t>Vigor</t>
  </si>
  <si>
    <t>Subtlety</t>
  </si>
  <si>
    <t>After remaining Vanished for at least 4 seconds, Ambush, Cheap Shot, or Garrote causes Veleera to regenerate an additional 10 Energy per second for 5 seconds.</t>
  </si>
  <si>
    <t>Combat Readiness</t>
  </si>
  <si>
    <t>Each Combo Point spent grants 50 Physical Armor against the next enemy Hero Basic Attack, reducing its damage by 50%. Stores up to 3 charges.</t>
  </si>
  <si>
    <t>Crippling Poison</t>
  </si>
  <si>
    <t>Relentless Strikes</t>
  </si>
  <si>
    <t>Reduces the Energy cost of Sinister Strike by 10.</t>
  </si>
  <si>
    <t>Hemorrhage</t>
  </si>
  <si>
    <t>Initiative</t>
  </si>
  <si>
    <t>Ambush, Cheap Shot, and Garrote award 2 Combo Points.</t>
  </si>
  <si>
    <t>Wound Poison</t>
  </si>
  <si>
    <t>Mutilate</t>
  </si>
  <si>
    <t>Sinister Strike now hits with both blades, dealing 100% additional damage, but its range is reduced by 1.</t>
  </si>
  <si>
    <t>Fatal Finesse</t>
  </si>
  <si>
    <t>Slice and Dice</t>
  </si>
  <si>
    <t>Assassinate</t>
  </si>
  <si>
    <t>Ambush deals 100% additional damage if no other enemy Heroes are within 5 range of the victim.</t>
  </si>
  <si>
    <t>Smoke Bomb</t>
  </si>
  <si>
    <t>Cloak of Shadows</t>
  </si>
  <si>
    <t>Elusiveness</t>
  </si>
  <si>
    <t>Death From Above</t>
  </si>
  <si>
    <t>Ambush now has 5 range and teleports Valeera behind the victim.</t>
  </si>
  <si>
    <t>Blind</t>
  </si>
  <si>
    <t>When Cheap Shot expires, the victim is blinded for 2.5 seconds.</t>
  </si>
  <si>
    <t>Strangle</t>
  </si>
  <si>
    <t>Garrote reduces Ability Damage dealt by the victim by 25% for 7 seconds.</t>
  </si>
  <si>
    <t>Seal Fate</t>
  </si>
  <si>
    <t>Sinister Strike deals 50% additional damage and generates an additional Combo Point when used against silenced, rooted, or stunned enemy Heroes.</t>
  </si>
  <si>
    <t>Rupture</t>
  </si>
  <si>
    <t>Expose Armor</t>
  </si>
  <si>
    <t>Eviscerating an enemy with 3 Combo Points causes them to lose 25 Armor for 2 seconds, increasing all damage taken by 25%.</t>
  </si>
  <si>
    <t>Thistle Tea</t>
  </si>
  <si>
    <t>Activate to instantly restore 100 Energy.</t>
  </si>
  <si>
    <t>Adrenaline Rush</t>
  </si>
  <si>
    <t>While in the Smoke Bomb, Valeera regenerates an additional 30 Energy per second.</t>
  </si>
  <si>
    <t>Enveloping Shadows</t>
  </si>
  <si>
    <t>Whenever Valeera uses Vanish, she also gains Cloak of Shadows.</t>
  </si>
  <si>
    <t>Nightslayer</t>
  </si>
  <si>
    <t>Reduces the cooldown of Vanish by 3 seconds.</t>
  </si>
  <si>
    <t>Cold Blood</t>
  </si>
  <si>
    <t>Quest: Each time Blade Flurry damages an enemy Hero, its damage increases by 3, up to 60. Reward: After damaging 20 Heroes with Blade Flurry, permanently reduce its Energy cost by 20.</t>
  </si>
  <si>
    <t>Create a cloud of smoke. While in the smoke, Valeera is Unreavealable, can pass through other units, and gains 25 Armor, reducing damage taken by 25%. Valeera can continue to attack and use abilities without being revealed. Lasts 5 seconds. Using this Ability does not break Vanish.</t>
  </si>
  <si>
    <t>Valeera is enveloped in a Cloak of Shadows, which immediately removes all damage over time effects from her. For 1 second, she becomes Unstoppable and gains 75 Spell Armor, reducing Ability Damage taken by 75%. Using this Ability does not break Vanish.</t>
  </si>
  <si>
    <t>Boneslicer</t>
  </si>
  <si>
    <t>Grievous Throw now pierces through enemies. Bonus damage increased by 15%.</t>
  </si>
  <si>
    <t>Arcanite Axes</t>
  </si>
  <si>
    <t>Twin Cleave cooldown reduced by 0.5 seconds for every Hero hit. Ability Power is increased by 25% while below 50% Health.</t>
  </si>
  <si>
    <t>You Want Axe?</t>
  </si>
  <si>
    <t>Troll's Blood</t>
  </si>
  <si>
    <t>Increases Regeneration healing by 75%.</t>
  </si>
  <si>
    <t>Let the Killing Begin</t>
  </si>
  <si>
    <t>Enemies killed by you increase your attack speed by 6% for 10 seconds, stacking up to 5 times. Basic Attacks refresh the duration.</t>
  </si>
  <si>
    <t>Hero Takedowns instantly grant 30% Attack Speed.</t>
  </si>
  <si>
    <t>Headhunter</t>
  </si>
  <si>
    <t>Vicious Assault</t>
  </si>
  <si>
    <t>Increases the number of charges to 6. Basic Attacks against afflicted Heroes reduces cooldown by 2 seconds.</t>
  </si>
  <si>
    <t>Wrong Place Wrong Time</t>
  </si>
  <si>
    <t>If an enemy is hit by both axes at the same time, deal bonus damage.</t>
  </si>
  <si>
    <t>Recklessness</t>
  </si>
  <si>
    <t>While below 50% health, gain 25% bonus Attack Damage.</t>
  </si>
  <si>
    <t>Taz'dingo!</t>
  </si>
  <si>
    <t>Cannot be reduced to less than 1 Health for the next 4 seconds.</t>
  </si>
  <si>
    <t>Guillotine</t>
  </si>
  <si>
    <t>Throw a massive axe into the air that crashes down on enemies, dealing damage based on how much Health you are missing.</t>
  </si>
  <si>
    <t>Eye of Zul'jin</t>
  </si>
  <si>
    <t>Hitting an enemy Hero with Grievous Throw increases Movement Speed by 25% for 2 seconds.</t>
  </si>
  <si>
    <t>Forest Medicine</t>
  </si>
  <si>
    <t>Regeneration no longer has to be channeled. Damage still breaks the heal.</t>
  </si>
  <si>
    <t>Voodoo Shuffle</t>
  </si>
  <si>
    <t>Activate to remove all Slow and Root effects.</t>
  </si>
  <si>
    <t>Swirling Death</t>
  </si>
  <si>
    <t>Axes cycle twice and can hit enemies on each revolution but cooldown is increased by 4 seconds.</t>
  </si>
  <si>
    <t>Lacerate</t>
  </si>
  <si>
    <t>Increases Slow amount of each axe by 15%.</t>
  </si>
  <si>
    <t>Ferocity</t>
  </si>
  <si>
    <t>Increases the Attack Speed bonus of Berserker by 40%.</t>
  </si>
  <si>
    <t>Amani Resilience</t>
  </si>
  <si>
    <t>Restore Health equal to 50% of the damage you dealt while using Taz'dingo.</t>
  </si>
  <si>
    <t>Buzzsaw</t>
  </si>
  <si>
    <t>After impact, the Guillotine continues rapidly forward, dealing damage to enemies in the line.</t>
  </si>
  <si>
    <t>Ensnare</t>
  </si>
  <si>
    <t>Throw a net forward, rooting the first enemy hit.</t>
  </si>
  <si>
    <t>Quest: Every 5 Basic Attacks used against Heroes increases your Basic Attack damage by 1.5. Reward: Upon reaching 24 Stacks, permanently gain 20% Range.</t>
  </si>
  <si>
    <t>Quest: Kill all unique enemy Heroes. Reward: Activate to reveal all enemy Heroes for 4 seconds.</t>
  </si>
  <si>
    <t>Symbiote\'s Carapace increases the Movement Speed of the target by 40% for 3.5 seconds.</t>
  </si>
  <si>
    <t>Increases Toxic Nest\'s range to global and increases duration by 25%.</t>
  </si>
  <si>
    <t>Locust\'s Basic Attacks become a long-range siege attack that deal 70% more damage.</t>
  </si>
  <si>
    <t>Your Symbiote\'s Spike Burst also slows enemy Movement Speed by 40% for 2 seconds.</t>
  </si>
  <si>
    <t>Turn an allied Minion or Locust into a Monstrosity. When enemy Minions or captured Mercenaries near the Monstrosity die, it gains 5% Health and 5% Basic Attack damage, stacking up to 40 times. The Monstrosity takes 50% less damage from Minions and Structures.Using Symbiote on the Monstrosity allows you to control it, in addition to Symbiote\'s normal benefits.</t>
  </si>
  <si>
    <t>Increases the damage and range of Symbiote\'s Stab by 20%.</t>
  </si>
  <si>
    <t>Using Symbiote\'s Carapace also applies an untalented Carapace Shield to all nearby allied Heroes, Minions, and Mercenaries.</t>
  </si>
  <si>
    <t>Increases the range of Symbiote\'s Spike Burst by 25% and decreases the cooldown by 1 second.</t>
  </si>
  <si>
    <t>Symbiote\'s Carapace heals the target for 149 (71 + 4% per level) Health per second over 4 seconds.</t>
  </si>
  <si>
    <t>Symbiote\'s Spike Burst heals the host for 141 (67 + 4% per level) Health per enemy Hero hit.</t>
  </si>
  <si>
    <t>Symbiote\'s Stab gains 1 additional charge and its cooldown is reduced by 0.5 seconds.</t>
  </si>
  <si>
    <t>Increases Locust\'s Health by 50% and duration by 40%.</t>
  </si>
  <si>
    <t>Increases the Shield amount of Symbiote\'s Carapace by 40% and allows it to persist after Symbiote ends.</t>
  </si>
  <si>
    <t>Anub\'arak automatically spawns Beetles every 8 seconds. Can be toggled on and off.</t>
  </si>
  <si>
    <t>Using Harden Carapace also increases Anub\'arak\'s Movement Speed by 30% for 3 seconds.</t>
  </si>
  <si>
    <t>Increases Harden Carapace\'s Shield amount by 40%.</t>
  </si>
  <si>
    <t>Create a bed of spikes along Impale\'s path that slows enemy Move Speed by 30% and deals 101 (48 + 4% per level) damage per second. Spikes persist for 3.5 seconds.</t>
  </si>
  <si>
    <t>Activate to deal 10% of target enemy Hero\'s Max Health and heal for twice that amount.</t>
  </si>
  <si>
    <t>Anub\'arak gains a permanent Vampire Locust that attacks a nearby enemy every 3 seconds. The Vampire Locust deals 336 (160 + 4% per level) damage and returns to heal Anub\'arak for 82 (39 + 4% per level) health.</t>
  </si>
  <si>
    <t>Staying near the Coccon allows Anub\'arak to extend the duration by up to 4 seconds per Cocoon.</t>
  </si>
  <si>
    <t>Shield Overload\'s cooldown recharges 50% faster while the shield is active, and increases the duration of Shielf Overload from 5 to 6 seconds.</t>
  </si>
  <si>
    <t>Shield Overload\'s shield amount is increased by 80% while you are below 25% Max Health.</t>
  </si>
  <si>
    <t>Phase Prism also slows the enemy\'s Movement Speed by 35% for 4 seconds.</t>
  </si>
  <si>
    <t>Templar\'s Zeal</t>
  </si>
  <si>
    <t>Increases Twin Blades\'s number of Basic Attacks to 3 but increase its cooldown by 1 second..</t>
  </si>
  <si>
    <t>Increase Twin Blades\' charge distance by 100%.</t>
  </si>
  <si>
    <t>Twin Blades attacks against Heroes deal an additional 2.5% of the target\'s maximum Health in damage.</t>
  </si>
  <si>
    <t>Increases Shield Overload\'s cooldown reduction from Basic Attacks to 6 seconds.</t>
  </si>
  <si>
    <t>Howling Blast\'s cooldown is reduced by 5 seconds when it hits an enemy Hero.</t>
  </si>
  <si>
    <t>Reduce Death Coil\'s cooldown by 2 seconds and increase its range by 25%.</t>
  </si>
  <si>
    <t>Increases Howling Blast\'s range by 30% and causes it to also root enemies between you and the target for 1.25 seconds.</t>
  </si>
  <si>
    <t>Reduces Frostmourne Hungers\' cooldown by 2 seconds. Frostmourne Hungers also slows the enemy by 40% for 1.5 seconds.</t>
  </si>
  <si>
    <t>Death\'s Advance</t>
  </si>
  <si>
    <t>Increases Demon Warrior\'s damage by 20% and reduces their Mana cost by 20.</t>
  </si>
  <si>
    <t>Sin\'s Grasp</t>
  </si>
  <si>
    <t>Globe of Annihilation\'s cast time is decreased by 40% and its missile speed is increased by 40%.</t>
  </si>
  <si>
    <t>Increases Azmodan\'s movement speed while channeling All Shall Burn to 80% of normal speed.</t>
  </si>
  <si>
    <t>Reduces Globe of Annihilation\'s Mana cost by 30.</t>
  </si>
  <si>
    <t>Activate to deal 10% of target enemy Hero\'s Max Health and heal for twice that amount. Can be cast while channeling All Shall Burn. 45 second Cooldown.</t>
  </si>
  <si>
    <t>Reduces General of Hell\'s cooldown by 10 seconds and gains an additional charge.</t>
  </si>
  <si>
    <t>Increases Soothing Mist\'s range by 20%.</t>
  </si>
  <si>
    <t>Increases Butcher\'s Brand\'s healing from 75% to 100% of your Basic Attack damage. While facing the branded enemy, your Movement Speed is increased by 20%.</t>
  </si>
  <si>
    <t>Hamstring\'s slow no longer fades out, and the duration is increased by 25%.</t>
  </si>
  <si>
    <t>Brewmaster\'s Balance</t>
  </si>
  <si>
    <t>Flying Kick slows the target enemy by 35% for 1 second, or by 70% if they\'re soaked in Brew.</t>
  </si>
  <si>
    <t>Increases Flying Kick\'s range by 20%.</t>
  </si>
  <si>
    <t>Increases the spirits\' Health to 100% of your maximum Health and empowers their abilities. Storm can grant your spirits Unstoppable. Earth\'s leap cooldown is reduced by 3 seconds. Fire grants Attack Speed as long as it is alive.</t>
  </si>
  <si>
    <t>Increases the duration of Gall\'s "Hurry Up, Oaf!" by 1.5 second and it no longer fades over time.</t>
  </si>
  <si>
    <t>Gall\'s Runic Blast reduces your Rune Bomb cooldown by 1 second per enemy hit.</t>
  </si>
  <si>
    <t>C\'thun\'s Gift</t>
  </si>
  <si>
    <t>Quest: Every time Dragon\'s Breath hits a Hero increase its damage by 2, up to 50. Reward: After hitting 25 Heroes, increase its damage by an additional 150 and also increase your sight radius by 100%.</t>
  </si>
  <si>
    <t>Timewalker\'s Pursuit</t>
  </si>
  <si>
    <t>Increases Dragon\'s Breath\'s radius by 25%.</t>
  </si>
  <si>
    <t>Reduces Dragon\'s Breath\'s Mana cost and cooldown by 50%, but also reduces its damage by 25%.</t>
  </si>
  <si>
    <t>Dragon\'s Eye</t>
  </si>
  <si>
    <t>Dragon\'s Breath does 25% more damage to enemies in the center.</t>
  </si>
  <si>
    <t>Reduce Time Trap\'s cooldown and Mana cost by 50%. After the Stasis ends, the enemy is also slowed by 50% for 4 seconds.</t>
  </si>
  <si>
    <t>Increases Sand Blast and Dragon’s Breath\'s range by 15%.</t>
  </si>
  <si>
    <t>Basic Attacks reduce Drag\'s cooldown by 1.5 seconds.</t>
  </si>
  <si>
    <t>Brushstalker\'s Movement Speed duration after leaving a Bush is increased from 1 to 3 seconds.</t>
  </si>
  <si>
    <t>Reduces Brushstalker\'s cooldown by 25 seconds and the cast time by 0.5 seconds.</t>
  </si>
  <si>
    <t>Devil\'s Due</t>
  </si>
  <si>
    <t>Basic Attacks against enemy Heroes deal bonus damage equal to 1% of the Hero\'s maximum Health and heal you for the same amount.</t>
  </si>
  <si>
    <t>Once Overpower\'s stun expires, the target is slowed by 30% for 3 seconds.</t>
  </si>
  <si>
    <t>Apocalypse\'s cooldown is reduced by 20 seconds and is cast for free when you die.</t>
  </si>
  <si>
    <t>Stage Dive\'s impact area is 50% bigger, and its cooldown is reduced by 15 seconds for every enemy Hero hit.</t>
  </si>
  <si>
    <t>Increase Barrel Roll\'s range and Shield amount by 40%.</t>
  </si>
  <si>
    <t>Increases Hammerang\' range by 30% and Basic Attacks deal 60% bonus damage while Hammerang is in flight.</t>
  </si>
  <si>
    <t>Basic Attacks against enemy Heroes deal bonus damage equal to 1.5% of the Hero\'s maximum Health.</t>
  </si>
  <si>
    <t>Increases the Hammerang\'s slow from 25% to 50%.</t>
  </si>
  <si>
    <t>Bomb\'s Away</t>
  </si>
  <si>
    <t>Increases Cho\'s Rune Bomb range by 20%.</t>
  </si>
  <si>
    <t>Dread Orb\'s third bounce instead bounces backwards.</t>
  </si>
  <si>
    <t>If Shadowflame hits an enemy Hero afflicted with Cho\'s Consuming Blaze, its cooldown is reduced by 1.25 seconds.</t>
  </si>
  <si>
    <t>Increases Runic Blast\'s damage by 5% everytime you get a Hero takedown, up to 20%. These bonuses are lost upon dying.</t>
  </si>
  <si>
    <t>Shadowflame also does 3.5% of a Hero\'s maximum Health.</t>
  </si>
  <si>
    <t>Increases Shadowflare\'s width by 50%. Enemies hit are slowed by 25% for 1 second.</t>
  </si>
  <si>
    <t>Increases Twisting Nether\'s slow by 10% and damage by 10% for every second channeled, to a maximum of 40% increase.</t>
  </si>
  <si>
    <t>Reduces Xplodium Charge\'s cooldown by 2 seconds. If Xplodium Charge hits an enemy Hero, you gain 2 charges of Rock-It! Turret.</t>
  </si>
  <si>
    <t>Firin\' Mah Lazorz</t>
  </si>
  <si>
    <t>It\'s Raining Scrap</t>
  </si>
  <si>
    <t>Increases Gilnean Cocktail\'s range by 30% and refunds 50 Mana if it hits an enemy Hero.</t>
  </si>
  <si>
    <t>Increases Inner Beast\'s duration to 4 seconds, and causes Ability damage to also refresh its duration.</t>
  </si>
  <si>
    <t>Increases Gilnean Cocktail\'s explosion length by 35%.</t>
  </si>
  <si>
    <t>Increases Darkflight and Disengage\'s range by 35%.</t>
  </si>
  <si>
    <t>Worgen Basic Attacks reduce Razor Swipe\'s cooldown by 1 second.</t>
  </si>
  <si>
    <t>Increases Razor Swipe\'s lunge distance by 60%.</t>
  </si>
  <si>
    <t>Worgen Basic Attacks against Heroes deal bonus damage equal to 3% of the Hero\'s maximum Health.</t>
  </si>
  <si>
    <t>Marked for the Kill\'s Armor reduction is now refreshed by any damage done to the Marked Hero.</t>
  </si>
  <si>
    <t>Hunter\'s Blunderbuss</t>
  </si>
  <si>
    <t>Quest: Hit 40 enemy Heroes with Fel Flame. Reward: Fel Flame\'s radius is increased by 10%.</t>
  </si>
  <si>
    <t>Fel Flame\'s damage is increased by 8% for 5 seconds when hitting an enemy Hero. This can stack up to 5 times.</t>
  </si>
  <si>
    <t>Increase Sweeping Strike\'s Basic Attack damage bonus duration from 3 to 5 seconds. If Sweeping Strike hits 2 Heroes its damage bonus is increased from 35% to 125%.</t>
  </si>
  <si>
    <t>Betrayer\'s Thirst\'s healing from Basic Attacks is increased from 30% to 50% while Sweeping Strike\'s damage bonus is active.</t>
  </si>
  <si>
    <t>Hunter\'s Onslaught</t>
  </si>
  <si>
    <t>Winter\'s Reach</t>
  </si>
  <si>
    <t>Conjurer\'s Pursuit</t>
  </si>
  <si>
    <t>Summons a Water Elemental at target location. The Water Elemental\'s Basic Attacks do 78 damage, splash for 25% damage and Chill. Can reactivate the Ability to retarget the Water Elemental. Lasts 20 seconds.</t>
  </si>
  <si>
    <t>Activate to make your Basic Abilities\' cooldowns recharge three times as fast and reduce their Mana cost by 50% for 5 seconds.</t>
  </si>
  <si>
    <t>Condemn\'s cooldown is lowered by 0.75 seconds for each enemy affected. Maximum of 10 targets.</t>
  </si>
  <si>
    <t>Increases Iron Skin\'s Shield by 20%, and if the Shield is destroyed by damage the cooldown is reduced by 4 seconds.</t>
  </si>
  <si>
    <t>Increases Punish\'s slow to 80% decaying over 3 seconds.</t>
  </si>
  <si>
    <t>Heaven\'s Fury</t>
  </si>
  <si>
    <t>Increases Blessed Shield\'s stun duration by 33% and maximum enemies hit by 2.</t>
  </si>
  <si>
    <t>Increases Gravity Lapse\'s range by 30%. When Gravity Lapse hits an enemy Hero, refund 80 Mana.</t>
  </si>
  <si>
    <t>Sun King\'s Fury</t>
  </si>
  <si>
    <t>Living Bomb\'s explosion slows enemies Movement Speed by 30% for 2 seconds.</t>
  </si>
  <si>
    <t>Increases Living Bomb\'s explosion radius by 20%.</t>
  </si>
  <si>
    <t>Increases Pyroblast\'s explosion radius by 50% and reduces its cooldown by 25 seconds per enemy Hero hit.</t>
  </si>
  <si>
    <t>Living Bomb\'s spread from explosions can now also spread Living Bomb.</t>
  </si>
  <si>
    <t>Increases the cast range of Flamestrike by 40%. If you hit 2 or more Heroes, Flamestrike\'s cooldown is reduced by 4 seconds.</t>
  </si>
  <si>
    <t>Increases Impaling Blades\' radius by 30%.</t>
  </si>
  <si>
    <t>Increases Assimilation Shield\'s duration to 20 seconds.</t>
  </si>
  <si>
    <t>Increases Ravage\'s range by 40%.</t>
  </si>
  <si>
    <t>Queen\'s Rush</t>
  </si>
  <si>
    <t>Activate to increase your Movement Speed by 30% for 4 seconds. Queen\'s Rush is also applied for free on Takedowns.</t>
  </si>
  <si>
    <t>Activate to deal 10% of target enemy Hero\'s Max Health and gain Assimilation Shields for twice that amount.</t>
  </si>
  <si>
    <t>The Ultralisk morphs into an egg when it dies. If the egg isn\'t killed within 4 seconds, a new Ultralisk is born.</t>
  </si>
  <si>
    <t>Decreases Radiant Dash\'s cooldown by 2 seconds and increases the maximum number of charges by 1.</t>
  </si>
  <si>
    <t>Increases Breath of Heaven\'s Movement Speed bonus from 10% to 25%.</t>
  </si>
  <si>
    <t>Increases Deadly Reach\'s duration by 100%.</t>
  </si>
  <si>
    <t>Divine Palm\'s cooldown is set to 5 seconds if the Hero does not die.</t>
  </si>
  <si>
    <t>If your body takes no damage during Wraith Walk\'s duration, the cooldown is reduced to 4 seconds.</t>
  </si>
  <si>
    <t>If Drain Hope lasts its full duration, it deals bonus damage equal to 10% of the victim\'s Maximum Health. This damage does not heal you.</t>
  </si>
  <si>
    <t>Basic Attacks against enemy Heroes deal bonus damage equal to 5% of the Hero\'s maximum Health and heal you for the same amount.</t>
  </si>
  <si>
    <t>Cloud Serpent\'s attacks bounce to 3 nearby enemy targets, dealing 15 damage each.</t>
  </si>
  <si>
    <t>Activate to reduce an enemy Hero\'s damage by 50% and Movement Speed by 50% for 4 seconds.</t>
  </si>
  <si>
    <t>If you haven\'t taken damage in the last 5 seconds, Teleport costs no Mana and its cooldown is decreased by 2 seconds.</t>
  </si>
  <si>
    <t>Zei\'s Vengeance</t>
  </si>
  <si>
    <t>Arcane Orb does up to 25% more damage to enemies based on distance. Additionally, it\'s cooldown is reduced by 2 seconds.</t>
  </si>
  <si>
    <t>Tal Rasha\'s Elements</t>
  </si>
  <si>
    <t>Pain Don\'t Hurt</t>
  </si>
  <si>
    <t>Baleog\'s Basic Attacks and splash damage heal for 20% of the damage dealt. Healing is doubled against Heroes.</t>
  </si>
  <si>
    <t>Permanently increases Erik\'s base Movement Speed by 10%, and as long as Erik is moving he heals 34 Health per second.</t>
  </si>
  <si>
    <t>It\'s a Sabotage!</t>
  </si>
  <si>
    <t>Erik\'s Basic Attacks against Structures destroy 5 Ammo and deal 135 damage over 10 seconds.</t>
  </si>
  <si>
    <t>Baleog\'s Basic Attacks increase his Attack Speed by 8%, stacking up to 5 times. After 3 seconds of not attacking, these stacks will rapidly decay.</t>
  </si>
  <si>
    <t>Hunka\' Burning Olaf</t>
  </si>
  <si>
    <t>Activate to have all Viking Basic Attacks deal bonus damage equal to 1% of a Hero\'s maximum Health for 5 seconds.</t>
  </si>
  <si>
    <t>Enemies damaged by a Viking\'s Basic Attack reduce the cooldown of all Viking Abilities by 0.25 seconds.</t>
  </si>
  <si>
    <t>Ragnarok \'n\' Roll!</t>
  </si>
  <si>
    <t>Reduces the Lost Vikings\' death timer by 50%.</t>
  </si>
  <si>
    <t>Increases Safeguard\'s duration by 1 second.</t>
  </si>
  <si>
    <t>Displacement Grenade\'s Mana cost is refunded if you hit an enemy Hero.</t>
  </si>
  <si>
    <t>Displacement Grenade\'s explosion radius increased by 33% and knocks back farther.</t>
  </si>
  <si>
    <t>Enemies near your Healing Beam\'s target take 22 damage a second.</t>
  </si>
  <si>
    <t>Basic Attacks against your Healing Beam target reduce the attacker\'s Attack Speed by 25% for 2.5 seconds.</t>
  </si>
  <si>
    <t>Reduces Displacement Grenade\'s cooldown by 2 seconds and it now holds a second charge.</t>
  </si>
  <si>
    <t>Increases Noxious Blossom\'s radius by 20%.</t>
  </si>
  <si>
    <t>Nature\'s Toxin reveals enemies for its duration.</t>
  </si>
  <si>
    <t>As long as you have Nature\'s Toxin active on an enemy you heal for 40 (19 + 4% per level) Health a second.</t>
  </si>
  <si>
    <t>Using Noxious Blossom causes your next Basic Attack to hit up to 4 enemies. These extra attacks can apply Nature\'s toxin.</t>
  </si>
  <si>
    <t>Nature\'s Culling</t>
  </si>
  <si>
    <t>Increases Nature\'s Toxin\'s damage by 150% to non-Heroic enemies.</t>
  </si>
  <si>
    <t>Increases Noxious Blossom\'s range by 50%.</t>
  </si>
  <si>
    <t>Nature\'s Toxin deals 50% more damage to Heroes that are slowed.</t>
  </si>
  <si>
    <t>Increases Noxious Blossom damage by 125% against enemies afflicted with Nature\'s Toxin.</t>
  </si>
  <si>
    <t>Increases Crippling Spores\' slow to 50%, and causes it to no longer decay.</t>
  </si>
  <si>
    <t>Forest\'s Wrath</t>
  </si>
  <si>
    <t>Increases Thornwood Vine\'s range by 30%, its speed by 20%, and your vision radius by 35%.</t>
  </si>
  <si>
    <t>Activate to increase the Movement Speed bonus of Dryad\'s Swiftness to 80% for 6 seconds.</t>
  </si>
  <si>
    <t>Shan\'do\'s Clarity</t>
  </si>
  <si>
    <t>Reduces Innervate\'s cooldown by 10 seconds.</t>
  </si>
  <si>
    <t>Increases Moonfire\'s damage to Minions and Mercenaries by 100%.</t>
  </si>
  <si>
    <t>Elune\'s Grace</t>
  </si>
  <si>
    <t>Increases Moonfire\'s radius by 60% and reduces its Mana cost by 50%.</t>
  </si>
  <si>
    <t>Increases Tranquility\'s healing by 25% and it also restores 5 Mana per second.</t>
  </si>
  <si>
    <t>Increases Twilight Dream\'s silence duration to 4 seconds and it also slows enemies by 50%.</t>
  </si>
  <si>
    <t>Raven\'s Intellect</t>
  </si>
  <si>
    <t>Raven Form increases Medivh\'s Mana Regeneration by 100%.</t>
  </si>
  <si>
    <t>Bird\'s Eye View</t>
  </si>
  <si>
    <t>Permanently increase Raven Form\'s vision range by 25%. Activate to increase this bonus to 200% for 5 seconds.</t>
  </si>
  <si>
    <t>The Master\'s Touch</t>
  </si>
  <si>
    <t>A Raven Familiar joins allies that use a Portal. The Raven will dive at the ally\'s next Basic Attack target for 250 (119 + 4% per level) damage.</t>
  </si>
  <si>
    <t>Increases Raven Form\'s Movement Speed bonus by 50%.</t>
  </si>
  <si>
    <t>Increase the duration of the Stasis effect by 33.33% and gain the ability to redirect the wave once while it\'s activate.</t>
  </si>
  <si>
    <t>Reduces Storm Bolt\'s Mana cost by 25%. Quest: Every time Storm Bolt hits a Hero, increase its damage by 5.</t>
  </si>
  <si>
    <t>Give \'em the Axe!</t>
  </si>
  <si>
    <t>Increase Pufferfish\'s damage by 35% against Slimed targets.</t>
  </si>
  <si>
    <t>Corpse Spiders\' cooldown recharges 100% faster while above 1863 (884 +4% per level) Health.</t>
  </si>
  <si>
    <t>Reduce Gargantuan\'s cooldown by 45 seconds and its mana cost by 50%.</t>
  </si>
  <si>
    <t>Increases Pinning Shot\'s slow by 2% for every second that Nova is Cloaked, to a maximum of a 50%. Bonus fades when Nova is un-Cloaked for 1 second.</t>
  </si>
  <si>
    <t>Reduces Holo Decoy\'s cooldown and Mana cost by 40%.</t>
  </si>
  <si>
    <t>Removes Snipe\'s Mana cost and increases its range by 10%.</t>
  </si>
  <si>
    <t>Pinning Shot lowers a Hero\'s Armor by 25 for the duration of the slow, causing them to take 25% increased damage.</t>
  </si>
  <si>
    <t>Holo Decoy does 40% of Nova\'s damage.</t>
  </si>
  <si>
    <t>Triple Tap\'s cooldown is reset if it kills an enemy Hero.</t>
  </si>
  <si>
    <t>Puttin\' On a Clinic</t>
  </si>
  <si>
    <t>Raynor\'s Raiders</t>
  </si>
  <si>
    <t>Increases Inspire\'s duration by 50% and causes Adrenaline Rush to also apply Inspire.</t>
  </si>
  <si>
    <t>Spiritwalker\'s Grace</t>
  </si>
  <si>
    <t>Reduces Chain Heal\'s Mana cost from 65 to 45.</t>
  </si>
  <si>
    <t>Reduces Lightning Shield\'s Mana cost from 60 to 35.</t>
  </si>
  <si>
    <t>Reduces Chain Heal\'s cooldown by 1 second for each Hero healed.</t>
  </si>
  <si>
    <t>Ghost Wolf attacks against Heroes deal an additional 5% of the target\'s maximum Health and heal you for 5% of your maximum Health.</t>
  </si>
  <si>
    <t>Every time Lightning Shield damage an enemy Hero, increase that Lightning Shield\'s damage by 10%. Stacks up to 20 times.</t>
  </si>
  <si>
    <t>Farseer\'s Blessing</t>
  </si>
  <si>
    <t>Gladiator\'s War Shout</t>
  </si>
  <si>
    <t>Misha\'s Basic Attacks heal her for 3.9% of her maximum Health.</t>
  </si>
  <si>
    <t>Increases Spirit Swoop\'s slow amount to 40% and its duration to 3 seconds.</t>
  </si>
  <si>
    <t>Increases Spirit Swoop\'s range by 20%. If Spirit Swoop hits an enemy Hero, the Mana cost is refunded.</t>
  </si>
  <si>
    <t>Increases Misha\'s damage to Minions and Mercenaries by 150%, and reduces the damage Misha takes from Minions and Mercenaries by 50%.</t>
  </si>
  <si>
    <t>Increases Mend Pet\'s duration by 5 seconds.</t>
  </si>
  <si>
    <t>Misha\'s Basic Attacks lower the cooldown of Misha, Charge! by 1.5 seconds.</t>
  </si>
  <si>
    <t>Increases Spirit Swoop\'s damage by 200% to non-Heroic enemies.</t>
  </si>
  <si>
    <t>Increases Misha\'s Basic Attack damage by 150% for 12 seconds.</t>
  </si>
  <si>
    <t>Your Basic Attacks increase both you and Misha\'s Movement Speed by 25% for 2 seconds.</t>
  </si>
  <si>
    <t>If Misha, Charge! doesn\'t hit an enemy Hero, it can be cast again for free for the next 3 seconds.</t>
  </si>
  <si>
    <t>Increases the duration of Bestial Wrath by 50% and Misha\'s Basic Attacks heal Rexxar for 50% of her damage dealt during Bestial Wrath.</t>
  </si>
  <si>
    <t>Your Basic Attacks deal 10% more damage, and Misha\'s Basic Attacks slow the target by 20% for 1.25 seconds.</t>
  </si>
  <si>
    <t>Basic Attacks deal 25% more damage if you haven\'t been attacked within the last 5 seconds.</t>
  </si>
  <si>
    <t>Blunt Force Gun\'s missile orbits the planet every 5 seconds. Only the last missile fired orbits.</t>
  </si>
  <si>
    <t>Napalm Strike\'s range is increased by 75% and its impact does 50% more damage.</t>
  </si>
  <si>
    <t>Reduces the cooldown of Ancient Spear by 3 seconds. You are pulled to the target location even if you don\'t hit an enemy.</t>
  </si>
  <si>
    <t>Leap leaves behind an impassable crater for 5 seconds. Reduces Leap\'s cooldown by 20 seconds.</t>
  </si>
  <si>
    <t>Consume an enemy Hero, trapping them for 4 seconds. When Gorge ends, the enemy Hero takes 274 damage. The trapped Hero cannot move or act and doesn\'t take damage from other sources. Cannot be used on massive Heroes.</t>
  </si>
  <si>
    <t>Decreases Slam\'s cooldown by 2 seconds and it also slows enemies by 75% for 1 second.</t>
  </si>
  <si>
    <t>Increases Withering Fire\'s range by 25%.</t>
  </si>
  <si>
    <t>Reduce Shadow Dagger\'s cooldown by 1.25 seconds each time it spreads to a Hero.</t>
  </si>
  <si>
    <t>After 1 second cast, take control of an emeny Hero\'s movement and prevent them for doing anything else. Channel last 2.5 seconds.</t>
  </si>
  <si>
    <t>Enemies at the center of Wailing Arrow\'s explosion take 50% more damage and are silenced for twice as long.</t>
  </si>
  <si>
    <t>Dark Lady\'s Call</t>
  </si>
  <si>
    <t>Quest: Attacking enemy Heroes restores 4 mana per second. Reward: After spending 30 seconds attacking Heroes, Distortion Beam range is increased by 20%. Reward: After spending 60 seconds attacking Heroes, Distortion Beam\'s range is increased by an additional 20%.</t>
  </si>
  <si>
    <t>Khala\'s Celerity</t>
  </si>
  <si>
    <t>Khala\'s Embrace</t>
  </si>
  <si>
    <t>Khala\'s Light</t>
  </si>
  <si>
    <t>Adun\'s Wisdom</t>
  </si>
  <si>
    <t>While Oracle is active, Basic Attacks against Heroes deal an additional 1% of the target\'s maximum Health as damage.</t>
  </si>
  <si>
    <t>Force Wall\'s Range ins increased by 100% and its cooldown is reduced by 6 seconds.</t>
  </si>
  <si>
    <t>Increases Chain Lightning\'s range by 30% and attacking enemies recently hit by Chain Lightning restores 10 Mana.</t>
  </si>
  <si>
    <t>Increases the duration of Feral Spirit\'s root from 1 second to 1.5 seconds.</t>
  </si>
  <si>
    <t>Frostwolf\'s Grace</t>
  </si>
  <si>
    <t>Increases Windfury\'s Movement Speed bonus from 30% to 40%. Windfury attacks increase the Movement Speed duration by 1 second.</t>
  </si>
  <si>
    <t>Increases Melee\'s Pulse Bomb charge from 10% to 20% against Heroes.</t>
  </si>
  <si>
    <t>Increases Blink\'s charges by 1.</t>
  </si>
  <si>
    <t>Increases Pulse Bomb\'s radius by 50% and enemies hit are slowed by 70% for 3 seconds.</t>
  </si>
  <si>
    <t>Pulse Bomb deals an additional 10% of the primary target\'s maximum Health.</t>
  </si>
  <si>
    <t>Increases Pulse Bomb\'s range and charge rate from Basic Attacks against Heroes by 100%.</t>
  </si>
  <si>
    <t>Increases Melee\'s radius by 40%, and causes it to damage all enemies in range.</t>
  </si>
  <si>
    <t>Reduces Melee\'s cooldown by 3 seconds. Hitting an enemy with Melee who is stuck with a Pulse Bomb causes the bomb to instantly explode and knocks the target away from you.</t>
  </si>
  <si>
    <t>Recall\'s cooldown is increased by 8 seconds, but it heals you equal to the amount of Health you lost during that time.</t>
  </si>
  <si>
    <t>Reduce Minigun\'s cooldown by 33%.</t>
  </si>
  <si>
    <t>Increases Frag Grenade\'s radius by 25% and the knockback by 100%.</t>
  </si>
  <si>
    <t>That\'s the Stuff!</t>
  </si>
  <si>
    <t>Spray \'n\' Pray</t>
  </si>
  <si>
    <t>Increases Overkill\'s range by 25%.</t>
  </si>
  <si>
    <t>Increases Overkill\'s damage to the primary target by 50%.</t>
  </si>
  <si>
    <t>Sizzlin\' Attacks</t>
  </si>
  <si>
    <t>Run and Gun and Odin\'s Thrusters gain 2 additional charges and reduces Run and Gun\'s Mana cost from 50 to 25.</t>
  </si>
  <si>
    <t>When Archangel\'s Wrath explodes, shield nearby allies for 50% of their max Health for 10 seconds.</t>
  </si>
  <si>
    <t>Increases Archangel\'s Wrath\'s damage by 25%. Basic Abilities also can be used before exploding, but deal no damage.</t>
  </si>
  <si>
    <t>If El\'druins Might hits an enemy, its cooldown is reduced by 3 seconds.</t>
  </si>
  <si>
    <t>Increases Smite\'s Movement Speed by 10% and duration by 1 second.</t>
  </si>
  <si>
    <t>Angel\'s Grace</t>
  </si>
  <si>
    <t>After teleporting using El\'Druin\'s Might, gain 30% Movement Speed for 3 seconds.</t>
  </si>
  <si>
    <t>After teleporting using El\'Druin\'s Might, increase your Attack Speed by 50% for 5 seconds.</t>
  </si>
  <si>
    <t>Create a ring that blocks enemies from entering the area teleported to using El\'Druin\'s Might.</t>
  </si>
  <si>
    <t>Each allied Hero that is affected by Righteousness increases Tyrael\'s Shield amount by 35%.</t>
  </si>
  <si>
    <t>Ranger\'s Mark</t>
  </si>
  <si>
    <t>Lower the Cooldown of Hunter\'s Mark by 6 seconds.</t>
  </si>
  <si>
    <t>When you are above 50% Health, Light of Elune\'s allied heal is increased by 30%.</t>
  </si>
  <si>
    <t>Huntress\' Fury</t>
  </si>
  <si>
    <t>Gain 40% additional Attack Speed for 5 seconds when using Hunter\'s Mark.</t>
  </si>
  <si>
    <t>Hunter\'s Swiftness</t>
  </si>
  <si>
    <t>After Hammer of Justice\'s stun fades, the enemy\'s Movement Speed is slowed by 30% for 2 seconds.</t>
  </si>
  <si>
    <t>Divine Storm\'s radius is increased by 50% and its cooldown is reduced by 20 seconds.</t>
  </si>
  <si>
    <t>After Eternal Devotion ends, return to 50% of your maximum Health at your spirit\'s location. This effect has a 180 second cooldown.</t>
  </si>
  <si>
    <t>Death\'s Reach</t>
  </si>
  <si>
    <t>Trag\'Oul\'s Essence</t>
  </si>
  <si>
    <t>Rathma\'s Blessing</t>
  </si>
  <si>
    <t>Giant\'s Curse</t>
  </si>
  <si>
    <t>Reduces Spectral Scythe\'s cooldown by 5 seconds if you hit an enemy Hero.</t>
  </si>
  <si>
    <t>Poison Nova deals an additional 1% of the target\'s maximum life as damage every second.</t>
  </si>
  <si>
    <t>Activate to have Zagara\'s next Basic Attack apply 504 (240 + 4% per level) damage over 5 seconds.</t>
  </si>
  <si>
    <t>Quest: Each Basic Attack against a Hero increases Zagara\'s Attack Damage by 0.3.</t>
  </si>
  <si>
    <t>Passive: Creep spreads 25% farther. Passive: While on Creep, each Basic Attack educes all of Zagara\'s cooldowns by 1 second. Summon a Nydus Worm on Creep anywhere that Zagara has vision of. Zagara can enter a Nydus Worm and travel to any other Nydus Worm by right-cliking near it. While insde a Nydus Worm, Zagara regenerates 9.75% Health and Mana per second.</t>
  </si>
  <si>
    <t>Zagara is healed for 75% of the damage dealt by Hunter Killers\' Basic Attacks.</t>
  </si>
  <si>
    <t>After using an Ability, Zeratul\'s next Basic Attack within 6 seconds deals 40% additional damage.</t>
  </si>
  <si>
    <t>Reduces the damage bonus of Sadism by 10% but increases Discord Strike\'s silence duration by 0.75 seconds.</t>
  </si>
  <si>
    <t>Activate to remove all roots, slows, and damage over time effects and teleport to the chosen location. Activating Last Laugh will immediately reduce Alarak\'s Health to 1.</t>
  </si>
  <si>
    <t>Increases the energy stored from Auriel\'s Basic Attacks to 100% of the damage against Heroes and 30% of the damage against non-Heroes.Does not affect your Bestow Hope ally.</t>
  </si>
  <si>
    <t>Increases the healing of Resurrect to 100% of the ally\'s maximum Health, and they also gain 199.68% increased Movement Speed that decays over 4 seconds.</t>
  </si>
  <si>
    <t>Can\'t Stop, Won\'t Stop</t>
  </si>
  <si>
    <t>Gain 25 Armor while Wall Ride\'s Movement Speed bonus is active, reducing damage by 25%.</t>
  </si>
  <si>
    <t>While Amp It Up is active, Crossfade\'s Healing Boost heals for an additional 3% of the target\'s maximum health per second.</t>
  </si>
  <si>
    <t>If your aura is currently affecting 2 or more allies when you cast Amp It Up, Crossfade\'s Healing Boost is increased by 40% for the duration.</t>
  </si>
  <si>
    <t>Amp It Up\'s mana cost is reduced to 80 from 100, and dealing Basic Attack damage to enemy Heroes reduces the cooldown of Amp It Up by 0.35 seconds.</t>
  </si>
  <si>
    <t>Blast Wave\'s cooldown is reduced by 2 seconds, and its radius is increased by 15%.</t>
  </si>
  <si>
    <t>Quest: Attacking a Hero from Wind Walk increases the Movement Speed bonus of Wind Walk by 1.25%, up to 25%. Reward: After hitting 20 Heroes, Wind Walk\'s Unrevealable duration is increased to 2.5 seconds.</t>
  </si>
  <si>
    <t>Wind Walk teleports you a short distance in the direction you\'re currently facing.</t>
  </si>
  <si>
    <t>Wind Walk\'s cooldown is reduced by 6 seconds.</t>
  </si>
  <si>
    <t>Blademaster\'s Pursuit</t>
  </si>
  <si>
    <t>Lion\'s Maw</t>
  </si>
  <si>
    <t>Quest: Every time Lion\'s Fang hits a Hero, increase its damage by 4, up to 120 Reward: After hitting 30 Heroes, the slow is increased to 50% and its duration is increased to 2 seconds.</t>
  </si>
  <si>
    <t>When you Parry a Hero\'s Basic Attack, Heroic Strike\'s cooldown is refreshed and the next one does 25% more damage.</t>
  </si>
  <si>
    <t>High King\'s Quest</t>
  </si>
  <si>
    <t>Every 60 seconds, Varian\'s next Basic Attack will heal him for 877 (416 + 4% per level) Health. When a nearby enemy minion dies, the cooldown is reduced by 15 seconds.</t>
  </si>
  <si>
    <t>Basic Attacks reduce Heroic Strike\'s cooldown by 9 seconds, and increase Varian\'s Movement Speed by 30% for 2 seconds.</t>
  </si>
  <si>
    <t>Twin Blades of Fury increases Varian\'s Attack Speed by an additional 15%, and Basic Attacks increase his Movement Speed by an additional 10%.</t>
  </si>
  <si>
    <t>Zarya\'s Basic Attack deals -8.50% additional damage to enemies in melee range.</t>
  </si>
  <si>
    <t>Shield Ally increases the allied Hero\'s Movement Speed by 35% for the duration.</t>
  </si>
  <si>
    <t>Damage absorbed by Zarya\'s Shields contributes 20% more Energy.</t>
  </si>
  <si>
    <t>Activate to consume all Energy and gain a shield that absorbs 0.5% of Zarya\'s maximum Health per Energy consumed and lasts for 3 seconds. Zarya may only have one personal shield active on herself at a time.</t>
  </si>
  <si>
    <t>While at or above 75 Energy, Zarya\'s cooldowns regenerate 25% faster.</t>
  </si>
  <si>
    <t>Increases Graviton Surge\'s duration by 1 second and causes it to deal 307 (146 + 4% per level) damage over the duration.</t>
  </si>
  <si>
    <t>Increases Expulsion Zone\'s radius by 15% and Zarya\'s maximum Energy temporarily increases by 10 per enemy Hero hit for 10 seconds.</t>
  </si>
  <si>
    <t>Quest: Valeera regenerates an additional 2 Energy per second. Reward: After Gathering 20 Regen Globes, increase Valeera\'s maximum Energy to 120.</t>
  </si>
  <si>
    <t>Activate to cause Valeera\'s next instance of Spell Damage to slow enemy Movement Speed by 25% for 3 seconds. Activating Crippling Poison does not break Vanish.</t>
  </si>
  <si>
    <t>Valeer\'s Basic Attacks deal 25% additional damage to enemies affected by Garrote.</t>
  </si>
  <si>
    <t>Activate to cause Valeera\'s next instance of Spell Damage to also reduce healing received by the victim by 50% for 4 seconds. Activating Wound Poison does not break Vanish.</t>
  </si>
  <si>
    <t>Eviscerating an enemy with 3 Combo Points causes Valeera\'s next 3 Basic Attacks to have their Attack Speed increased by 150%. Lasts 3 seconds.</t>
  </si>
  <si>
    <t>Increase Valeera\'s Movement Speed while Vanished by an additional 10%.</t>
  </si>
  <si>
    <t>Valeera\'s Basic Attacks refresh the damage over time effect of Garrote.</t>
  </si>
  <si>
    <t>Activate to increase the damage of Valeera\'s next Evicerate by 100%. Activating Cold Blood does not break Vanish.</t>
  </si>
  <si>
    <t>Troll\'s Blood</t>
  </si>
  <si>
    <t>Taz\'dingo!</t>
  </si>
  <si>
    <t>Eye of Zul\'jin</t>
  </si>
  <si>
    <t>Restore Health equal to 50% of the damage you dealt while using Taz\'dingo.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</si>
</sst>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Red]0"/>
  </numFmts>
  <fonts count="6" x14ac:knownFonts="1">
    <font>
      <sz val="11"/>
      <color theme="1"/>
      <name val="Calibri"/>
      <family val="2"/>
      <scheme val="minor"/>
    </font>
    <font>
      <b/>
      <sz val="11"/>
      <name val="Arial"/>
      <family val="2"/>
    </font>
    <font>
      <sz val="11"/>
      <name val="Arial"/>
      <family val="2"/>
    </font>
    <font>
      <sz val="11"/>
      <color rgb="FF000000"/>
      <name val="Calibri"/>
      <family val="2"/>
    </font>
    <font>
      <b/>
      <sz val="11"/>
      <color rgb="FFFF0000"/>
      <name val="Calibri"/>
      <family val="2"/>
      <scheme val="minor"/>
    </font>
    <font>
      <sz val="11"/>
      <name val="Calibri"/>
      <family val="2"/>
      <scheme val="minor"/>
    </font>
  </fonts>
  <fills count="2">
    <fill>
      <patternFill patternType="none"/>
    </fill>
    <fill>
      <patternFill patternType="gray125"/>
    </fill>
  </fills>
  <borders count="2">
    <border>
      <left/>
      <right/>
      <top/>
      <bottom/>
      <diagonal/>
    </border>
    <border>
      <left/>
      <right/>
      <top/>
      <bottom style="medium">
        <color rgb="FF444444"/>
      </bottom>
      <diagonal/>
    </border>
  </borders>
  <cellStyleXfs count="1">
    <xf numFmtId="0" fontId="0" fillId="0" borderId="0"/>
  </cellStyleXfs>
  <cellXfs count="9">
    <xf numFmtId="0" fontId="0" fillId="0" borderId="0" xfId="0"/>
    <xf numFmtId="0" fontId="1" fillId="0" borderId="0" xfId="0" applyFont="1" applyAlignment="1">
      <alignment horizontal="center" vertical="center" wrapText="1"/>
    </xf>
    <xf numFmtId="0" fontId="2" fillId="0" borderId="0" xfId="0" applyFont="1" applyAlignment="1">
      <alignment vertical="center" wrapText="1"/>
    </xf>
    <xf numFmtId="0" fontId="2" fillId="0" borderId="1" xfId="0" applyFont="1" applyBorder="1" applyAlignment="1">
      <alignment vertical="center" wrapText="1"/>
    </xf>
    <xf numFmtId="0" fontId="0" fillId="0" borderId="0" xfId="0" applyAlignment="1">
      <alignment horizontal="right"/>
    </xf>
    <xf numFmtId="164" fontId="0" fillId="0" borderId="0" xfId="0" applyNumberFormat="1" applyAlignment="1">
      <alignment horizontal="right"/>
    </xf>
    <xf numFmtId="164" fontId="0" fillId="0" borderId="0" xfId="0" applyNumberFormat="1"/>
    <xf numFmtId="0" fontId="4" fillId="0" borderId="0" xfId="0" applyFont="1"/>
    <xf numFmtId="0" fontId="5" fillId="0" borderId="0" xfId="0" applyFont="1"/>
  </cellXfs>
  <cellStyles count="1">
    <cellStyle name="Normal" xfId="0" builtinId="0"/>
  </cellStyles>
  <dxfs count="1">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0</xdr:row>
          <xdr:rowOff>28575</xdr:rowOff>
        </xdr:from>
        <xdr:to>
          <xdr:col>2</xdr:col>
          <xdr:colOff>542925</xdr:colOff>
          <xdr:row>1</xdr:row>
          <xdr:rowOff>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75</a:t>
              </a:r>
            </a:p>
          </xdr:txBody>
        </xdr:sp>
        <xdr:clientData fPrintsWithSheet="0"/>
      </xdr:twoCellAnchor>
    </mc:Choice>
    <mc:Fallback/>
  </mc:AlternateContent>
</xdr:wsDr>
</file>

<file path=xl/tables/table1.xml><?xml version="1.0" encoding="utf-8"?>
<table xmlns="http://schemas.openxmlformats.org/spreadsheetml/2006/main" id="1" name="Table1" displayName="Table1" ref="A1:E3379" totalsRowShown="0">
  <autoFilter ref="A1:E3379">
    <filterColumn colId="4">
      <customFilters>
        <customFilter operator="notEqual" val=" "/>
      </customFilters>
    </filterColumn>
  </autoFilter>
  <sortState ref="A2:E60">
    <sortCondition ref="C1:C60"/>
  </sortState>
  <tableColumns count="5">
    <tableColumn id="1" name="hero_id"/>
    <tableColumn id="2" name="talent_level"/>
    <tableColumn id="3" name="talent_name"/>
    <tableColumn id="4" name="talent_cooldown" dataDxfId="0"/>
    <tableColumn id="5" name="talent_des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7"/>
  <sheetViews>
    <sheetView zoomScaleNormal="100" workbookViewId="0">
      <selection sqref="A1:A1048576"/>
    </sheetView>
  </sheetViews>
  <sheetFormatPr defaultRowHeight="15" x14ac:dyDescent="0.25"/>
  <cols>
    <col min="1" max="1" width="64.28515625" style="8" customWidth="1"/>
    <col min="2" max="2" width="10.28515625" style="7" customWidth="1"/>
  </cols>
  <sheetData>
    <row r="1" spans="1:2" x14ac:dyDescent="0.25">
      <c r="A1" s="1">
        <v>1</v>
      </c>
      <c r="B1" s="7">
        <f>IF((LEFT($A1,9)="Cooldown:"),"ERROR",0)</f>
        <v>0</v>
      </c>
    </row>
    <row r="2" spans="1:2" ht="15.75" thickBot="1" x14ac:dyDescent="0.3">
      <c r="A2" s="3" t="s">
        <v>2346</v>
      </c>
      <c r="B2"/>
    </row>
    <row r="3" spans="1:2" ht="28.5" x14ac:dyDescent="0.25">
      <c r="A3" s="2" t="s">
        <v>2347</v>
      </c>
      <c r="B3"/>
    </row>
    <row r="4" spans="1:2" ht="15.75" thickBot="1" x14ac:dyDescent="0.3">
      <c r="A4" s="3" t="s">
        <v>2348</v>
      </c>
      <c r="B4"/>
    </row>
    <row r="5" spans="1:2" ht="28.5" x14ac:dyDescent="0.25">
      <c r="A5" s="2" t="s">
        <v>2349</v>
      </c>
      <c r="B5"/>
    </row>
    <row r="6" spans="1:2" ht="15.75" thickBot="1" x14ac:dyDescent="0.3">
      <c r="A6" s="3" t="s">
        <v>2350</v>
      </c>
      <c r="B6"/>
    </row>
    <row r="7" spans="1:2" ht="42.75" x14ac:dyDescent="0.25">
      <c r="A7" s="2" t="s">
        <v>2385</v>
      </c>
      <c r="B7"/>
    </row>
    <row r="8" spans="1:2" x14ac:dyDescent="0.25">
      <c r="A8" s="1">
        <v>4</v>
      </c>
      <c r="B8"/>
    </row>
    <row r="9" spans="1:2" ht="15.75" thickBot="1" x14ac:dyDescent="0.3">
      <c r="A9" s="3" t="s">
        <v>2351</v>
      </c>
      <c r="B9"/>
    </row>
    <row r="10" spans="1:2" x14ac:dyDescent="0.25">
      <c r="A10" s="2" t="s">
        <v>2352</v>
      </c>
      <c r="B10"/>
    </row>
    <row r="11" spans="1:2" ht="15.75" thickBot="1" x14ac:dyDescent="0.3">
      <c r="A11" s="3" t="s">
        <v>2353</v>
      </c>
      <c r="B11"/>
    </row>
    <row r="12" spans="1:2" ht="42.75" x14ac:dyDescent="0.25">
      <c r="A12" s="2" t="s">
        <v>2354</v>
      </c>
      <c r="B12"/>
    </row>
    <row r="13" spans="1:2" x14ac:dyDescent="0.25">
      <c r="A13" s="2" t="s">
        <v>2355</v>
      </c>
      <c r="B13"/>
    </row>
    <row r="14" spans="1:2" ht="15.75" thickBot="1" x14ac:dyDescent="0.3">
      <c r="A14" s="3" t="s">
        <v>2356</v>
      </c>
      <c r="B14"/>
    </row>
    <row r="15" spans="1:2" x14ac:dyDescent="0.25">
      <c r="A15" s="2" t="s">
        <v>1667</v>
      </c>
      <c r="B15"/>
    </row>
    <row r="16" spans="1:2" ht="28.5" x14ac:dyDescent="0.25">
      <c r="A16" s="2" t="s">
        <v>2386</v>
      </c>
      <c r="B16"/>
    </row>
    <row r="17" spans="1:2" x14ac:dyDescent="0.25">
      <c r="A17" s="1">
        <v>7</v>
      </c>
      <c r="B17"/>
    </row>
    <row r="18" spans="1:2" ht="15.75" thickBot="1" x14ac:dyDescent="0.3">
      <c r="A18" s="3" t="s">
        <v>2357</v>
      </c>
      <c r="B18"/>
    </row>
    <row r="19" spans="1:2" ht="28.5" x14ac:dyDescent="0.25">
      <c r="A19" s="2" t="s">
        <v>2358</v>
      </c>
      <c r="B19"/>
    </row>
    <row r="20" spans="1:2" ht="15.75" thickBot="1" x14ac:dyDescent="0.3">
      <c r="A20" s="3" t="s">
        <v>2359</v>
      </c>
      <c r="B20"/>
    </row>
    <row r="21" spans="1:2" ht="28.5" x14ac:dyDescent="0.25">
      <c r="A21" s="2" t="s">
        <v>2360</v>
      </c>
      <c r="B21"/>
    </row>
    <row r="22" spans="1:2" ht="15.75" thickBot="1" x14ac:dyDescent="0.3">
      <c r="A22" s="3" t="s">
        <v>2361</v>
      </c>
      <c r="B22"/>
    </row>
    <row r="23" spans="1:2" x14ac:dyDescent="0.25">
      <c r="A23" s="2" t="s">
        <v>2362</v>
      </c>
      <c r="B23"/>
    </row>
    <row r="24" spans="1:2" x14ac:dyDescent="0.25">
      <c r="A24" s="1">
        <v>10</v>
      </c>
      <c r="B24"/>
    </row>
    <row r="25" spans="1:2" ht="15.75" thickBot="1" x14ac:dyDescent="0.3">
      <c r="A25" s="3" t="s">
        <v>2363</v>
      </c>
      <c r="B25"/>
    </row>
    <row r="26" spans="1:2" x14ac:dyDescent="0.25">
      <c r="A26" s="2" t="s">
        <v>2181</v>
      </c>
      <c r="B26"/>
    </row>
    <row r="27" spans="1:2" x14ac:dyDescent="0.25">
      <c r="A27" s="2" t="s">
        <v>2364</v>
      </c>
      <c r="B27"/>
    </row>
    <row r="28" spans="1:2" ht="15.75" thickBot="1" x14ac:dyDescent="0.3">
      <c r="A28" s="3" t="s">
        <v>2365</v>
      </c>
      <c r="B28"/>
    </row>
    <row r="29" spans="1:2" x14ac:dyDescent="0.25">
      <c r="A29" s="2" t="s">
        <v>2098</v>
      </c>
      <c r="B29"/>
    </row>
    <row r="30" spans="1:2" ht="28.5" x14ac:dyDescent="0.25">
      <c r="A30" s="2" t="s">
        <v>2366</v>
      </c>
      <c r="B30"/>
    </row>
    <row r="31" spans="1:2" x14ac:dyDescent="0.25">
      <c r="A31" s="1">
        <v>13</v>
      </c>
      <c r="B31"/>
    </row>
    <row r="32" spans="1:2" ht="15.75" thickBot="1" x14ac:dyDescent="0.3">
      <c r="A32" s="3" t="s">
        <v>2367</v>
      </c>
      <c r="B32"/>
    </row>
    <row r="33" spans="1:2" ht="28.5" x14ac:dyDescent="0.25">
      <c r="A33" s="2" t="s">
        <v>2368</v>
      </c>
      <c r="B33"/>
    </row>
    <row r="34" spans="1:2" ht="15.75" thickBot="1" x14ac:dyDescent="0.3">
      <c r="A34" s="3" t="s">
        <v>2369</v>
      </c>
      <c r="B34"/>
    </row>
    <row r="35" spans="1:2" ht="28.5" x14ac:dyDescent="0.25">
      <c r="A35" s="2" t="s">
        <v>2370</v>
      </c>
      <c r="B35"/>
    </row>
    <row r="36" spans="1:2" ht="15.75" thickBot="1" x14ac:dyDescent="0.3">
      <c r="A36" s="3" t="s">
        <v>2371</v>
      </c>
      <c r="B36"/>
    </row>
    <row r="37" spans="1:2" x14ac:dyDescent="0.25">
      <c r="A37" s="2" t="s">
        <v>2098</v>
      </c>
      <c r="B37"/>
    </row>
    <row r="38" spans="1:2" x14ac:dyDescent="0.25">
      <c r="A38" s="2" t="s">
        <v>2372</v>
      </c>
      <c r="B38"/>
    </row>
    <row r="39" spans="1:2" x14ac:dyDescent="0.25">
      <c r="A39" s="1">
        <v>16</v>
      </c>
      <c r="B39"/>
    </row>
    <row r="40" spans="1:2" ht="15.75" thickBot="1" x14ac:dyDescent="0.3">
      <c r="A40" s="3" t="s">
        <v>2373</v>
      </c>
      <c r="B40"/>
    </row>
    <row r="41" spans="1:2" ht="28.5" x14ac:dyDescent="0.25">
      <c r="A41" s="2" t="s">
        <v>2374</v>
      </c>
      <c r="B41"/>
    </row>
    <row r="42" spans="1:2" ht="15.75" thickBot="1" x14ac:dyDescent="0.3">
      <c r="A42" s="3" t="s">
        <v>2375</v>
      </c>
      <c r="B42"/>
    </row>
    <row r="43" spans="1:2" x14ac:dyDescent="0.25">
      <c r="A43" s="2" t="s">
        <v>2376</v>
      </c>
      <c r="B43"/>
    </row>
    <row r="44" spans="1:2" ht="15.75" thickBot="1" x14ac:dyDescent="0.3">
      <c r="A44" s="3" t="s">
        <v>2377</v>
      </c>
      <c r="B44"/>
    </row>
    <row r="45" spans="1:2" x14ac:dyDescent="0.25">
      <c r="A45" s="2" t="s">
        <v>2378</v>
      </c>
      <c r="B45"/>
    </row>
    <row r="46" spans="1:2" x14ac:dyDescent="0.25">
      <c r="A46" s="1">
        <v>20</v>
      </c>
      <c r="B46"/>
    </row>
    <row r="47" spans="1:2" ht="15.75" thickBot="1" x14ac:dyDescent="0.3">
      <c r="A47" s="3" t="s">
        <v>2379</v>
      </c>
      <c r="B47"/>
    </row>
    <row r="48" spans="1:2" ht="28.5" x14ac:dyDescent="0.25">
      <c r="A48" s="2" t="s">
        <v>2380</v>
      </c>
      <c r="B48"/>
    </row>
    <row r="49" spans="1:2" ht="15.75" thickBot="1" x14ac:dyDescent="0.3">
      <c r="A49" s="3" t="s">
        <v>2381</v>
      </c>
      <c r="B49"/>
    </row>
    <row r="50" spans="1:2" ht="28.5" x14ac:dyDescent="0.25">
      <c r="A50" s="2" t="s">
        <v>2382</v>
      </c>
      <c r="B50"/>
    </row>
    <row r="51" spans="1:2" ht="15.75" thickBot="1" x14ac:dyDescent="0.3">
      <c r="A51" s="3" t="s">
        <v>2383</v>
      </c>
      <c r="B51"/>
    </row>
    <row r="52" spans="1:2" x14ac:dyDescent="0.25">
      <c r="A52" s="2" t="s">
        <v>1667</v>
      </c>
      <c r="B52"/>
    </row>
    <row r="53" spans="1:2" x14ac:dyDescent="0.25">
      <c r="A53" s="2" t="s">
        <v>2384</v>
      </c>
      <c r="B53"/>
    </row>
    <row r="54" spans="1:2" x14ac:dyDescent="0.25">
      <c r="B54"/>
    </row>
    <row r="55" spans="1:2" x14ac:dyDescent="0.25">
      <c r="B55"/>
    </row>
    <row r="56" spans="1:2" x14ac:dyDescent="0.25">
      <c r="B56"/>
    </row>
    <row r="57" spans="1:2" x14ac:dyDescent="0.25">
      <c r="B57"/>
    </row>
    <row r="58" spans="1:2" x14ac:dyDescent="0.25">
      <c r="B58"/>
    </row>
    <row r="59" spans="1:2" x14ac:dyDescent="0.25">
      <c r="B59"/>
    </row>
    <row r="60" spans="1:2" x14ac:dyDescent="0.25">
      <c r="B60"/>
    </row>
    <row r="61" spans="1:2" x14ac:dyDescent="0.25">
      <c r="B61"/>
    </row>
    <row r="62" spans="1:2" x14ac:dyDescent="0.25">
      <c r="B62"/>
    </row>
    <row r="63" spans="1:2" x14ac:dyDescent="0.25">
      <c r="B63"/>
    </row>
    <row r="64" spans="1: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ht="28.5" customHeight="1"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1048576"/>
  <sheetViews>
    <sheetView topLeftCell="B45" workbookViewId="0">
      <selection activeCell="D2" sqref="D2:H51"/>
    </sheetView>
  </sheetViews>
  <sheetFormatPr defaultRowHeight="15" x14ac:dyDescent="0.25"/>
  <cols>
    <col min="1" max="1" width="64.28515625" style="8" customWidth="1"/>
    <col min="2" max="2" width="9.140625" customWidth="1"/>
    <col min="6" max="6" width="16.28515625" customWidth="1"/>
    <col min="7" max="7" width="10.7109375" customWidth="1"/>
  </cols>
  <sheetData>
    <row r="1" spans="1:8" x14ac:dyDescent="0.25">
      <c r="A1" s="1">
        <v>1</v>
      </c>
      <c r="B1" t="b">
        <v>0</v>
      </c>
      <c r="D1">
        <v>63</v>
      </c>
      <c r="E1">
        <f>IF(ISNUMBER($A1),$A1,"")</f>
        <v>1</v>
      </c>
      <c r="F1" t="str">
        <f>IF(($B1=TRUE),$A1,"")</f>
        <v/>
      </c>
      <c r="G1" s="4">
        <f>IF((LEFT($A2,9)="Cooldown:"),REPLACE($A2,1,10,""),0)</f>
        <v>0</v>
      </c>
      <c r="H1" t="str">
        <f>IF($F1="","",IF($G1=0,$A2,$A3))</f>
        <v/>
      </c>
    </row>
    <row r="2" spans="1:8" ht="15.75" thickBot="1" x14ac:dyDescent="0.3">
      <c r="A2" s="3" t="s">
        <v>2346</v>
      </c>
      <c r="B2" t="b">
        <v>1</v>
      </c>
      <c r="D2">
        <f>$D$1</f>
        <v>63</v>
      </c>
      <c r="E2">
        <f>IF(ISNUMBER($A2),$A2,$E1)</f>
        <v>1</v>
      </c>
      <c r="F2" t="str">
        <f t="shared" ref="F2:F65" si="0">IF(($B2=TRUE),$A2,"")</f>
        <v>Boneslicer</v>
      </c>
      <c r="G2" s="4">
        <f t="shared" ref="G2:G65" si="1">IF((LEFT($A3,9)="Cooldown:"),REPLACE($A3,1,10,""),0)</f>
        <v>0</v>
      </c>
      <c r="H2" t="str">
        <f t="shared" ref="H2:H65" si="2">IF($F2="","",IF($G2=0,$A3,$A4))</f>
        <v>Grievous Throw now pierces through enemies. Bonus damage increased by 15%.</v>
      </c>
    </row>
    <row r="3" spans="1:8" ht="28.5" x14ac:dyDescent="0.25">
      <c r="A3" s="2" t="s">
        <v>2347</v>
      </c>
      <c r="B3" t="b">
        <v>0</v>
      </c>
      <c r="D3">
        <f t="shared" ref="D3:D66" si="3">$D$1</f>
        <v>63</v>
      </c>
      <c r="E3">
        <f t="shared" ref="E3:E66" si="4">IF(ISNUMBER($A3),$A3,$E2)</f>
        <v>1</v>
      </c>
      <c r="F3" t="str">
        <f t="shared" si="0"/>
        <v/>
      </c>
      <c r="G3" s="4">
        <f t="shared" si="1"/>
        <v>0</v>
      </c>
      <c r="H3" t="str">
        <f t="shared" si="2"/>
        <v/>
      </c>
    </row>
    <row r="4" spans="1:8" ht="15.75" thickBot="1" x14ac:dyDescent="0.3">
      <c r="A4" s="3" t="s">
        <v>2348</v>
      </c>
      <c r="B4" t="b">
        <v>1</v>
      </c>
      <c r="D4">
        <f t="shared" si="3"/>
        <v>63</v>
      </c>
      <c r="E4">
        <f t="shared" si="4"/>
        <v>1</v>
      </c>
      <c r="F4" t="str">
        <f t="shared" si="0"/>
        <v>Arcanite Axes</v>
      </c>
      <c r="G4" s="4">
        <f t="shared" si="1"/>
        <v>0</v>
      </c>
      <c r="H4" t="str">
        <f t="shared" si="2"/>
        <v>Twin Cleave cooldown reduced by 0.5 seconds for every Hero hit. Ability Power is increased by 25% while below 50% Health.</v>
      </c>
    </row>
    <row r="5" spans="1:8" ht="28.5" x14ac:dyDescent="0.25">
      <c r="A5" s="2" t="s">
        <v>2349</v>
      </c>
      <c r="B5" t="b">
        <v>0</v>
      </c>
      <c r="D5">
        <f t="shared" si="3"/>
        <v>63</v>
      </c>
      <c r="E5">
        <f t="shared" si="4"/>
        <v>1</v>
      </c>
      <c r="F5" t="str">
        <f t="shared" si="0"/>
        <v/>
      </c>
      <c r="G5" s="4">
        <f t="shared" si="1"/>
        <v>0</v>
      </c>
      <c r="H5" t="str">
        <f t="shared" si="2"/>
        <v/>
      </c>
    </row>
    <row r="6" spans="1:8" ht="27.75" customHeight="1" thickBot="1" x14ac:dyDescent="0.3">
      <c r="A6" s="3" t="s">
        <v>2350</v>
      </c>
      <c r="B6" t="b">
        <v>1</v>
      </c>
      <c r="D6">
        <f t="shared" si="3"/>
        <v>63</v>
      </c>
      <c r="E6">
        <f t="shared" si="4"/>
        <v>1</v>
      </c>
      <c r="F6" t="str">
        <f t="shared" si="0"/>
        <v>You Want Axe?</v>
      </c>
      <c r="G6" s="4">
        <f t="shared" si="1"/>
        <v>0</v>
      </c>
      <c r="H6" t="str">
        <f t="shared" si="2"/>
        <v>Quest: Every 5 Basic Attacks used against Heroes increases your Basic Attack damage by 1.5. Reward: Upon reaching 24 Stacks, permanently gain 20% Range.</v>
      </c>
    </row>
    <row r="7" spans="1:8" ht="42.75" x14ac:dyDescent="0.25">
      <c r="A7" s="2" t="s">
        <v>2385</v>
      </c>
      <c r="B7" t="b">
        <v>0</v>
      </c>
      <c r="D7">
        <f t="shared" si="3"/>
        <v>63</v>
      </c>
      <c r="E7">
        <f t="shared" si="4"/>
        <v>1</v>
      </c>
      <c r="F7" t="str">
        <f t="shared" si="0"/>
        <v/>
      </c>
      <c r="G7" s="4">
        <f t="shared" si="1"/>
        <v>0</v>
      </c>
      <c r="H7" t="str">
        <f t="shared" si="2"/>
        <v/>
      </c>
    </row>
    <row r="8" spans="1:8" x14ac:dyDescent="0.25">
      <c r="A8" s="1">
        <v>4</v>
      </c>
      <c r="B8" t="b">
        <v>0</v>
      </c>
      <c r="D8">
        <f t="shared" si="3"/>
        <v>63</v>
      </c>
      <c r="E8">
        <f t="shared" si="4"/>
        <v>4</v>
      </c>
      <c r="F8" t="str">
        <f t="shared" si="0"/>
        <v/>
      </c>
      <c r="G8" s="4">
        <f t="shared" si="1"/>
        <v>0</v>
      </c>
      <c r="H8" t="str">
        <f t="shared" si="2"/>
        <v/>
      </c>
    </row>
    <row r="9" spans="1:8" ht="15.75" thickBot="1" x14ac:dyDescent="0.3">
      <c r="A9" s="3" t="s">
        <v>2351</v>
      </c>
      <c r="B9" t="b">
        <v>1</v>
      </c>
      <c r="D9">
        <f t="shared" si="3"/>
        <v>63</v>
      </c>
      <c r="E9">
        <f t="shared" si="4"/>
        <v>4</v>
      </c>
      <c r="F9" t="str">
        <f t="shared" si="0"/>
        <v>Troll's Blood</v>
      </c>
      <c r="G9" s="4">
        <f t="shared" si="1"/>
        <v>0</v>
      </c>
      <c r="H9" t="str">
        <f t="shared" si="2"/>
        <v>Increases Regeneration healing by 75%.</v>
      </c>
    </row>
    <row r="10" spans="1:8" x14ac:dyDescent="0.25">
      <c r="A10" s="2" t="s">
        <v>2352</v>
      </c>
      <c r="B10" t="b">
        <v>0</v>
      </c>
      <c r="D10">
        <f t="shared" si="3"/>
        <v>63</v>
      </c>
      <c r="E10">
        <f t="shared" si="4"/>
        <v>4</v>
      </c>
      <c r="F10" t="str">
        <f t="shared" si="0"/>
        <v/>
      </c>
      <c r="G10" s="4">
        <f t="shared" si="1"/>
        <v>0</v>
      </c>
      <c r="H10" t="str">
        <f t="shared" si="2"/>
        <v/>
      </c>
    </row>
    <row r="11" spans="1:8" ht="15.75" thickBot="1" x14ac:dyDescent="0.3">
      <c r="A11" s="3" t="s">
        <v>2353</v>
      </c>
      <c r="B11" t="b">
        <v>1</v>
      </c>
      <c r="D11">
        <f t="shared" si="3"/>
        <v>63</v>
      </c>
      <c r="E11">
        <f t="shared" si="4"/>
        <v>4</v>
      </c>
      <c r="F11" t="str">
        <f t="shared" si="0"/>
        <v>Let the Killing Begin</v>
      </c>
      <c r="G11" s="4">
        <f t="shared" si="1"/>
        <v>0</v>
      </c>
      <c r="H11" t="str">
        <f t="shared" si="2"/>
        <v>Enemies killed by you increase your attack speed by 6% for 10 seconds, stacking up to 5 times. Basic Attacks refresh the duration.</v>
      </c>
    </row>
    <row r="12" spans="1:8" ht="42.75" x14ac:dyDescent="0.25">
      <c r="A12" s="2" t="s">
        <v>2354</v>
      </c>
      <c r="B12" t="b">
        <v>0</v>
      </c>
      <c r="D12">
        <f t="shared" si="3"/>
        <v>63</v>
      </c>
      <c r="E12">
        <f t="shared" si="4"/>
        <v>4</v>
      </c>
      <c r="F12" t="str">
        <f t="shared" si="0"/>
        <v/>
      </c>
      <c r="G12" s="4">
        <f t="shared" si="1"/>
        <v>0</v>
      </c>
      <c r="H12" t="str">
        <f t="shared" si="2"/>
        <v/>
      </c>
    </row>
    <row r="13" spans="1:8" x14ac:dyDescent="0.25">
      <c r="A13" s="2" t="s">
        <v>2355</v>
      </c>
      <c r="B13" t="b">
        <v>0</v>
      </c>
      <c r="D13">
        <f t="shared" si="3"/>
        <v>63</v>
      </c>
      <c r="E13">
        <f t="shared" si="4"/>
        <v>4</v>
      </c>
      <c r="F13" t="str">
        <f t="shared" si="0"/>
        <v/>
      </c>
      <c r="G13" s="4">
        <f t="shared" si="1"/>
        <v>0</v>
      </c>
      <c r="H13" t="str">
        <f t="shared" si="2"/>
        <v/>
      </c>
    </row>
    <row r="14" spans="1:8" ht="15.75" thickBot="1" x14ac:dyDescent="0.3">
      <c r="A14" s="3" t="s">
        <v>2356</v>
      </c>
      <c r="B14" t="b">
        <v>1</v>
      </c>
      <c r="D14">
        <f t="shared" si="3"/>
        <v>63</v>
      </c>
      <c r="E14">
        <f t="shared" si="4"/>
        <v>4</v>
      </c>
      <c r="F14" t="str">
        <f t="shared" si="0"/>
        <v>Headhunter</v>
      </c>
      <c r="G14" s="4" t="str">
        <f t="shared" si="1"/>
        <v>60</v>
      </c>
      <c r="H14" t="str">
        <f t="shared" si="2"/>
        <v>Quest: Kill all unique enemy Heroes. Reward: Activate to reveal all enemy Heroes for 4 seconds.</v>
      </c>
    </row>
    <row r="15" spans="1:8" x14ac:dyDescent="0.25">
      <c r="A15" s="2" t="s">
        <v>1667</v>
      </c>
      <c r="B15" t="b">
        <v>0</v>
      </c>
      <c r="D15">
        <f t="shared" si="3"/>
        <v>63</v>
      </c>
      <c r="E15">
        <f t="shared" si="4"/>
        <v>4</v>
      </c>
      <c r="F15" t="str">
        <f t="shared" si="0"/>
        <v/>
      </c>
      <c r="G15" s="4">
        <f t="shared" si="1"/>
        <v>0</v>
      </c>
      <c r="H15" t="str">
        <f t="shared" si="2"/>
        <v/>
      </c>
    </row>
    <row r="16" spans="1:8" ht="15.75" customHeight="1" x14ac:dyDescent="0.25">
      <c r="A16" s="2" t="s">
        <v>2386</v>
      </c>
      <c r="B16" t="b">
        <v>0</v>
      </c>
      <c r="D16">
        <f t="shared" si="3"/>
        <v>63</v>
      </c>
      <c r="E16">
        <f t="shared" si="4"/>
        <v>4</v>
      </c>
      <c r="F16" t="str">
        <f t="shared" si="0"/>
        <v/>
      </c>
      <c r="G16" s="4">
        <f t="shared" si="1"/>
        <v>0</v>
      </c>
      <c r="H16" t="str">
        <f t="shared" si="2"/>
        <v/>
      </c>
    </row>
    <row r="17" spans="1:8" x14ac:dyDescent="0.25">
      <c r="A17" s="1">
        <v>7</v>
      </c>
      <c r="B17" t="b">
        <v>0</v>
      </c>
      <c r="D17">
        <f t="shared" si="3"/>
        <v>63</v>
      </c>
      <c r="E17">
        <f t="shared" si="4"/>
        <v>7</v>
      </c>
      <c r="F17" t="str">
        <f t="shared" si="0"/>
        <v/>
      </c>
      <c r="G17" s="4">
        <f t="shared" si="1"/>
        <v>0</v>
      </c>
      <c r="H17" t="str">
        <f t="shared" si="2"/>
        <v/>
      </c>
    </row>
    <row r="18" spans="1:8" ht="15.75" thickBot="1" x14ac:dyDescent="0.3">
      <c r="A18" s="3" t="s">
        <v>2357</v>
      </c>
      <c r="B18" t="b">
        <v>1</v>
      </c>
      <c r="D18">
        <f t="shared" si="3"/>
        <v>63</v>
      </c>
      <c r="E18">
        <f t="shared" si="4"/>
        <v>7</v>
      </c>
      <c r="F18" t="str">
        <f t="shared" si="0"/>
        <v>Vicious Assault</v>
      </c>
      <c r="G18" s="4">
        <f t="shared" si="1"/>
        <v>0</v>
      </c>
      <c r="H18" t="str">
        <f t="shared" si="2"/>
        <v>Increases the number of charges to 6. Basic Attacks against afflicted Heroes reduces cooldown by 2 seconds.</v>
      </c>
    </row>
    <row r="19" spans="1:8" ht="28.5" x14ac:dyDescent="0.25">
      <c r="A19" s="2" t="s">
        <v>2358</v>
      </c>
      <c r="B19" t="b">
        <v>0</v>
      </c>
      <c r="D19">
        <f t="shared" si="3"/>
        <v>63</v>
      </c>
      <c r="E19">
        <f t="shared" si="4"/>
        <v>7</v>
      </c>
      <c r="F19" t="str">
        <f t="shared" si="0"/>
        <v/>
      </c>
      <c r="G19" s="4">
        <f t="shared" si="1"/>
        <v>0</v>
      </c>
      <c r="H19" t="str">
        <f t="shared" si="2"/>
        <v/>
      </c>
    </row>
    <row r="20" spans="1:8" ht="15.75" thickBot="1" x14ac:dyDescent="0.3">
      <c r="A20" s="3" t="s">
        <v>2359</v>
      </c>
      <c r="B20" t="b">
        <v>1</v>
      </c>
      <c r="D20">
        <f t="shared" si="3"/>
        <v>63</v>
      </c>
      <c r="E20">
        <f t="shared" si="4"/>
        <v>7</v>
      </c>
      <c r="F20" t="str">
        <f t="shared" si="0"/>
        <v>Wrong Place Wrong Time</v>
      </c>
      <c r="G20" s="4">
        <f t="shared" si="1"/>
        <v>0</v>
      </c>
      <c r="H20" t="str">
        <f t="shared" si="2"/>
        <v>If an enemy is hit by both axes at the same time, deal bonus damage.</v>
      </c>
    </row>
    <row r="21" spans="1:8" ht="28.5" x14ac:dyDescent="0.25">
      <c r="A21" s="2" t="s">
        <v>2360</v>
      </c>
      <c r="B21" t="b">
        <v>0</v>
      </c>
      <c r="D21">
        <f t="shared" si="3"/>
        <v>63</v>
      </c>
      <c r="E21">
        <f t="shared" si="4"/>
        <v>7</v>
      </c>
      <c r="F21" t="str">
        <f t="shared" si="0"/>
        <v/>
      </c>
      <c r="G21" s="4">
        <f t="shared" si="1"/>
        <v>0</v>
      </c>
      <c r="H21" t="str">
        <f t="shared" si="2"/>
        <v/>
      </c>
    </row>
    <row r="22" spans="1:8" ht="15.75" thickBot="1" x14ac:dyDescent="0.3">
      <c r="A22" s="3" t="s">
        <v>2361</v>
      </c>
      <c r="B22" t="b">
        <v>1</v>
      </c>
      <c r="D22">
        <f t="shared" si="3"/>
        <v>63</v>
      </c>
      <c r="E22">
        <f t="shared" si="4"/>
        <v>7</v>
      </c>
      <c r="F22" t="str">
        <f t="shared" si="0"/>
        <v>Recklessness</v>
      </c>
      <c r="G22" s="4">
        <f t="shared" si="1"/>
        <v>0</v>
      </c>
      <c r="H22" t="str">
        <f t="shared" si="2"/>
        <v>While below 50% health, gain 25% bonus Attack Damage.</v>
      </c>
    </row>
    <row r="23" spans="1:8" x14ac:dyDescent="0.25">
      <c r="A23" s="2" t="s">
        <v>2362</v>
      </c>
      <c r="B23" t="b">
        <v>0</v>
      </c>
      <c r="D23">
        <f t="shared" si="3"/>
        <v>63</v>
      </c>
      <c r="E23">
        <f t="shared" si="4"/>
        <v>7</v>
      </c>
      <c r="F23" t="str">
        <f t="shared" si="0"/>
        <v/>
      </c>
      <c r="G23" s="4">
        <f t="shared" si="1"/>
        <v>0</v>
      </c>
      <c r="H23" t="str">
        <f t="shared" si="2"/>
        <v/>
      </c>
    </row>
    <row r="24" spans="1:8" x14ac:dyDescent="0.25">
      <c r="A24" s="1">
        <v>10</v>
      </c>
      <c r="B24" t="b">
        <v>0</v>
      </c>
      <c r="D24">
        <f t="shared" si="3"/>
        <v>63</v>
      </c>
      <c r="E24">
        <f t="shared" si="4"/>
        <v>10</v>
      </c>
      <c r="F24" t="str">
        <f t="shared" si="0"/>
        <v/>
      </c>
      <c r="G24" s="4">
        <f t="shared" si="1"/>
        <v>0</v>
      </c>
      <c r="H24" t="str">
        <f t="shared" si="2"/>
        <v/>
      </c>
    </row>
    <row r="25" spans="1:8" ht="15.75" thickBot="1" x14ac:dyDescent="0.3">
      <c r="A25" s="3" t="s">
        <v>2363</v>
      </c>
      <c r="B25" t="b">
        <v>1</v>
      </c>
      <c r="D25">
        <f t="shared" si="3"/>
        <v>63</v>
      </c>
      <c r="E25">
        <f t="shared" si="4"/>
        <v>10</v>
      </c>
      <c r="F25" t="str">
        <f t="shared" si="0"/>
        <v>Taz'dingo!</v>
      </c>
      <c r="G25" s="4" t="str">
        <f t="shared" si="1"/>
        <v>90</v>
      </c>
      <c r="H25" t="str">
        <f t="shared" si="2"/>
        <v>Cannot be reduced to less than 1 Health for the next 4 seconds.</v>
      </c>
    </row>
    <row r="26" spans="1:8" x14ac:dyDescent="0.25">
      <c r="A26" s="2" t="s">
        <v>2181</v>
      </c>
      <c r="B26" t="b">
        <v>0</v>
      </c>
      <c r="D26">
        <f t="shared" si="3"/>
        <v>63</v>
      </c>
      <c r="E26">
        <f t="shared" si="4"/>
        <v>10</v>
      </c>
      <c r="F26" t="str">
        <f t="shared" si="0"/>
        <v/>
      </c>
      <c r="G26" s="4">
        <f t="shared" si="1"/>
        <v>0</v>
      </c>
      <c r="H26" t="str">
        <f t="shared" si="2"/>
        <v/>
      </c>
    </row>
    <row r="27" spans="1:8" x14ac:dyDescent="0.25">
      <c r="A27" s="2" t="s">
        <v>2364</v>
      </c>
      <c r="B27" t="b">
        <v>0</v>
      </c>
      <c r="D27">
        <f t="shared" si="3"/>
        <v>63</v>
      </c>
      <c r="E27">
        <f t="shared" si="4"/>
        <v>10</v>
      </c>
      <c r="F27" t="str">
        <f t="shared" si="0"/>
        <v/>
      </c>
      <c r="G27" s="4">
        <f t="shared" si="1"/>
        <v>0</v>
      </c>
      <c r="H27" t="str">
        <f t="shared" si="2"/>
        <v/>
      </c>
    </row>
    <row r="28" spans="1:8" ht="15.75" thickBot="1" x14ac:dyDescent="0.3">
      <c r="A28" s="3" t="s">
        <v>2365</v>
      </c>
      <c r="B28" t="b">
        <v>1</v>
      </c>
      <c r="D28">
        <f t="shared" si="3"/>
        <v>63</v>
      </c>
      <c r="E28">
        <f t="shared" si="4"/>
        <v>10</v>
      </c>
      <c r="F28" t="str">
        <f t="shared" si="0"/>
        <v>Guillotine</v>
      </c>
      <c r="G28" s="4" t="str">
        <f t="shared" si="1"/>
        <v>45</v>
      </c>
      <c r="H28" t="str">
        <f t="shared" si="2"/>
        <v>Throw a massive axe into the air that crashes down on enemies, dealing damage based on how much Health you are missing.</v>
      </c>
    </row>
    <row r="29" spans="1:8" x14ac:dyDescent="0.25">
      <c r="A29" s="2" t="s">
        <v>2098</v>
      </c>
      <c r="B29" t="b">
        <v>0</v>
      </c>
      <c r="D29">
        <f t="shared" si="3"/>
        <v>63</v>
      </c>
      <c r="E29">
        <f t="shared" si="4"/>
        <v>10</v>
      </c>
      <c r="F29" t="str">
        <f t="shared" si="0"/>
        <v/>
      </c>
      <c r="G29" s="4">
        <f t="shared" si="1"/>
        <v>0</v>
      </c>
      <c r="H29" t="str">
        <f t="shared" si="2"/>
        <v/>
      </c>
    </row>
    <row r="30" spans="1:8" ht="28.5" x14ac:dyDescent="0.25">
      <c r="A30" s="2" t="s">
        <v>2366</v>
      </c>
      <c r="B30" t="b">
        <v>0</v>
      </c>
      <c r="D30">
        <f t="shared" si="3"/>
        <v>63</v>
      </c>
      <c r="E30">
        <f t="shared" si="4"/>
        <v>10</v>
      </c>
      <c r="F30" t="str">
        <f t="shared" si="0"/>
        <v/>
      </c>
      <c r="G30" s="4">
        <f t="shared" si="1"/>
        <v>0</v>
      </c>
      <c r="H30" t="str">
        <f t="shared" si="2"/>
        <v/>
      </c>
    </row>
    <row r="31" spans="1:8" x14ac:dyDescent="0.25">
      <c r="A31" s="1">
        <v>13</v>
      </c>
      <c r="B31" t="b">
        <v>0</v>
      </c>
      <c r="D31">
        <f t="shared" si="3"/>
        <v>63</v>
      </c>
      <c r="E31">
        <f t="shared" si="4"/>
        <v>13</v>
      </c>
      <c r="F31" t="str">
        <f t="shared" si="0"/>
        <v/>
      </c>
      <c r="G31" s="4">
        <f t="shared" si="1"/>
        <v>0</v>
      </c>
      <c r="H31" t="str">
        <f t="shared" si="2"/>
        <v/>
      </c>
    </row>
    <row r="32" spans="1:8" ht="15.75" thickBot="1" x14ac:dyDescent="0.3">
      <c r="A32" s="3" t="s">
        <v>2367</v>
      </c>
      <c r="B32" t="b">
        <v>1</v>
      </c>
      <c r="D32">
        <f t="shared" si="3"/>
        <v>63</v>
      </c>
      <c r="E32">
        <f t="shared" si="4"/>
        <v>13</v>
      </c>
      <c r="F32" t="str">
        <f t="shared" si="0"/>
        <v>Eye of Zul'jin</v>
      </c>
      <c r="G32" s="4">
        <f t="shared" si="1"/>
        <v>0</v>
      </c>
      <c r="H32" t="str">
        <f t="shared" si="2"/>
        <v>Hitting an enemy Hero with Grievous Throw increases Movement Speed by 25% for 2 seconds.</v>
      </c>
    </row>
    <row r="33" spans="1:8" ht="28.5" x14ac:dyDescent="0.25">
      <c r="A33" s="2" t="s">
        <v>2368</v>
      </c>
      <c r="B33" t="b">
        <v>0</v>
      </c>
      <c r="D33">
        <f t="shared" si="3"/>
        <v>63</v>
      </c>
      <c r="E33">
        <f t="shared" si="4"/>
        <v>13</v>
      </c>
      <c r="F33" t="str">
        <f t="shared" si="0"/>
        <v/>
      </c>
      <c r="G33" s="4">
        <f t="shared" si="1"/>
        <v>0</v>
      </c>
      <c r="H33" t="str">
        <f t="shared" si="2"/>
        <v/>
      </c>
    </row>
    <row r="34" spans="1:8" ht="15.75" thickBot="1" x14ac:dyDescent="0.3">
      <c r="A34" s="3" t="s">
        <v>2369</v>
      </c>
      <c r="B34" t="b">
        <v>1</v>
      </c>
      <c r="D34">
        <f t="shared" si="3"/>
        <v>63</v>
      </c>
      <c r="E34">
        <f t="shared" si="4"/>
        <v>13</v>
      </c>
      <c r="F34" t="str">
        <f t="shared" si="0"/>
        <v>Forest Medicine</v>
      </c>
      <c r="G34" s="4">
        <f t="shared" si="1"/>
        <v>0</v>
      </c>
      <c r="H34" t="str">
        <f t="shared" si="2"/>
        <v>Regeneration no longer has to be channeled. Damage still breaks the heal.</v>
      </c>
    </row>
    <row r="35" spans="1:8" ht="28.5" x14ac:dyDescent="0.25">
      <c r="A35" s="2" t="s">
        <v>2370</v>
      </c>
      <c r="B35" t="b">
        <v>0</v>
      </c>
      <c r="D35">
        <f t="shared" si="3"/>
        <v>63</v>
      </c>
      <c r="E35">
        <f t="shared" si="4"/>
        <v>13</v>
      </c>
      <c r="F35" t="str">
        <f t="shared" si="0"/>
        <v/>
      </c>
      <c r="G35" s="4">
        <f t="shared" si="1"/>
        <v>0</v>
      </c>
      <c r="H35" t="str">
        <f t="shared" si="2"/>
        <v/>
      </c>
    </row>
    <row r="36" spans="1:8" ht="15.75" thickBot="1" x14ac:dyDescent="0.3">
      <c r="A36" s="3" t="s">
        <v>2371</v>
      </c>
      <c r="B36" t="b">
        <v>1</v>
      </c>
      <c r="D36">
        <f t="shared" si="3"/>
        <v>63</v>
      </c>
      <c r="E36">
        <f t="shared" si="4"/>
        <v>13</v>
      </c>
      <c r="F36" t="str">
        <f t="shared" si="0"/>
        <v>Voodoo Shuffle</v>
      </c>
      <c r="G36" s="4" t="str">
        <f t="shared" si="1"/>
        <v>45</v>
      </c>
      <c r="H36" t="str">
        <f t="shared" si="2"/>
        <v>Activate to remove all Slow and Root effects.</v>
      </c>
    </row>
    <row r="37" spans="1:8" x14ac:dyDescent="0.25">
      <c r="A37" s="2" t="s">
        <v>2098</v>
      </c>
      <c r="B37" t="b">
        <v>0</v>
      </c>
      <c r="D37">
        <f t="shared" si="3"/>
        <v>63</v>
      </c>
      <c r="E37">
        <f t="shared" si="4"/>
        <v>13</v>
      </c>
      <c r="F37" t="str">
        <f t="shared" si="0"/>
        <v/>
      </c>
      <c r="G37" s="4">
        <f t="shared" si="1"/>
        <v>0</v>
      </c>
      <c r="H37" t="str">
        <f t="shared" si="2"/>
        <v/>
      </c>
    </row>
    <row r="38" spans="1:8" x14ac:dyDescent="0.25">
      <c r="A38" s="2" t="s">
        <v>2372</v>
      </c>
      <c r="B38" t="b">
        <v>0</v>
      </c>
      <c r="D38">
        <f t="shared" si="3"/>
        <v>63</v>
      </c>
      <c r="E38">
        <f t="shared" si="4"/>
        <v>13</v>
      </c>
      <c r="F38" t="str">
        <f t="shared" si="0"/>
        <v/>
      </c>
      <c r="G38" s="4">
        <f t="shared" si="1"/>
        <v>0</v>
      </c>
      <c r="H38" t="str">
        <f t="shared" si="2"/>
        <v/>
      </c>
    </row>
    <row r="39" spans="1:8" x14ac:dyDescent="0.25">
      <c r="A39" s="1">
        <v>16</v>
      </c>
      <c r="B39" t="b">
        <v>0</v>
      </c>
      <c r="D39">
        <f t="shared" si="3"/>
        <v>63</v>
      </c>
      <c r="E39">
        <f t="shared" si="4"/>
        <v>16</v>
      </c>
      <c r="F39" t="str">
        <f t="shared" si="0"/>
        <v/>
      </c>
      <c r="G39" s="4">
        <f t="shared" si="1"/>
        <v>0</v>
      </c>
      <c r="H39" t="str">
        <f t="shared" si="2"/>
        <v/>
      </c>
    </row>
    <row r="40" spans="1:8" ht="15.75" thickBot="1" x14ac:dyDescent="0.3">
      <c r="A40" s="3" t="s">
        <v>2373</v>
      </c>
      <c r="B40" t="b">
        <v>1</v>
      </c>
      <c r="D40">
        <f t="shared" si="3"/>
        <v>63</v>
      </c>
      <c r="E40">
        <f t="shared" si="4"/>
        <v>16</v>
      </c>
      <c r="F40" t="str">
        <f t="shared" si="0"/>
        <v>Swirling Death</v>
      </c>
      <c r="G40" s="4">
        <f t="shared" si="1"/>
        <v>0</v>
      </c>
      <c r="H40" t="str">
        <f t="shared" si="2"/>
        <v>Axes cycle twice and can hit enemies on each revolution but cooldown is increased by 4 seconds.</v>
      </c>
    </row>
    <row r="41" spans="1:8" ht="28.5" x14ac:dyDescent="0.25">
      <c r="A41" s="2" t="s">
        <v>2374</v>
      </c>
      <c r="B41" t="b">
        <v>0</v>
      </c>
      <c r="D41">
        <f t="shared" si="3"/>
        <v>63</v>
      </c>
      <c r="E41">
        <f t="shared" si="4"/>
        <v>16</v>
      </c>
      <c r="F41" t="str">
        <f t="shared" si="0"/>
        <v/>
      </c>
      <c r="G41" s="4">
        <f t="shared" si="1"/>
        <v>0</v>
      </c>
      <c r="H41" t="str">
        <f t="shared" si="2"/>
        <v/>
      </c>
    </row>
    <row r="42" spans="1:8" ht="15.75" thickBot="1" x14ac:dyDescent="0.3">
      <c r="A42" s="3" t="s">
        <v>2375</v>
      </c>
      <c r="B42" t="b">
        <v>1</v>
      </c>
      <c r="D42">
        <f t="shared" si="3"/>
        <v>63</v>
      </c>
      <c r="E42">
        <f t="shared" si="4"/>
        <v>16</v>
      </c>
      <c r="F42" t="str">
        <f t="shared" si="0"/>
        <v>Lacerate</v>
      </c>
      <c r="G42" s="4">
        <f t="shared" si="1"/>
        <v>0</v>
      </c>
      <c r="H42" t="str">
        <f t="shared" si="2"/>
        <v>Increases Slow amount of each axe by 15%.</v>
      </c>
    </row>
    <row r="43" spans="1:8" x14ac:dyDescent="0.25">
      <c r="A43" s="2" t="s">
        <v>2376</v>
      </c>
      <c r="B43" t="b">
        <v>0</v>
      </c>
      <c r="D43">
        <f t="shared" si="3"/>
        <v>63</v>
      </c>
      <c r="E43">
        <f t="shared" si="4"/>
        <v>16</v>
      </c>
      <c r="F43" t="str">
        <f t="shared" si="0"/>
        <v/>
      </c>
      <c r="G43" s="4">
        <f t="shared" si="1"/>
        <v>0</v>
      </c>
      <c r="H43" t="str">
        <f t="shared" si="2"/>
        <v/>
      </c>
    </row>
    <row r="44" spans="1:8" ht="15.75" thickBot="1" x14ac:dyDescent="0.3">
      <c r="A44" s="3" t="s">
        <v>2377</v>
      </c>
      <c r="B44" t="b">
        <v>1</v>
      </c>
      <c r="D44">
        <f t="shared" si="3"/>
        <v>63</v>
      </c>
      <c r="E44">
        <f t="shared" si="4"/>
        <v>16</v>
      </c>
      <c r="F44" t="str">
        <f t="shared" si="0"/>
        <v>Ferocity</v>
      </c>
      <c r="G44" s="4">
        <f t="shared" si="1"/>
        <v>0</v>
      </c>
      <c r="H44" t="str">
        <f t="shared" si="2"/>
        <v>Increases the Attack Speed bonus of Berserker by 40%.</v>
      </c>
    </row>
    <row r="45" spans="1:8" x14ac:dyDescent="0.25">
      <c r="A45" s="2" t="s">
        <v>2378</v>
      </c>
      <c r="B45" t="b">
        <v>0</v>
      </c>
      <c r="D45">
        <f t="shared" si="3"/>
        <v>63</v>
      </c>
      <c r="E45">
        <f t="shared" si="4"/>
        <v>16</v>
      </c>
      <c r="F45" t="str">
        <f t="shared" si="0"/>
        <v/>
      </c>
      <c r="G45" s="4">
        <f t="shared" si="1"/>
        <v>0</v>
      </c>
      <c r="H45" t="str">
        <f t="shared" si="2"/>
        <v/>
      </c>
    </row>
    <row r="46" spans="1:8" x14ac:dyDescent="0.25">
      <c r="A46" s="1">
        <v>20</v>
      </c>
      <c r="B46" t="b">
        <v>0</v>
      </c>
      <c r="D46">
        <f t="shared" si="3"/>
        <v>63</v>
      </c>
      <c r="E46">
        <f t="shared" si="4"/>
        <v>20</v>
      </c>
      <c r="F46" t="str">
        <f t="shared" si="0"/>
        <v/>
      </c>
      <c r="G46" s="4">
        <f t="shared" si="1"/>
        <v>0</v>
      </c>
      <c r="H46" t="str">
        <f t="shared" si="2"/>
        <v/>
      </c>
    </row>
    <row r="47" spans="1:8" ht="15.75" thickBot="1" x14ac:dyDescent="0.3">
      <c r="A47" s="3" t="s">
        <v>2379</v>
      </c>
      <c r="B47" t="b">
        <v>1</v>
      </c>
      <c r="D47">
        <f t="shared" si="3"/>
        <v>63</v>
      </c>
      <c r="E47">
        <f t="shared" si="4"/>
        <v>20</v>
      </c>
      <c r="F47" t="str">
        <f t="shared" si="0"/>
        <v>Amani Resilience</v>
      </c>
      <c r="G47" s="4">
        <f t="shared" si="1"/>
        <v>0</v>
      </c>
      <c r="H47" t="str">
        <f t="shared" si="2"/>
        <v>Restore Health equal to 50% of the damage you dealt while using Taz'dingo.</v>
      </c>
    </row>
    <row r="48" spans="1:8" ht="28.5" x14ac:dyDescent="0.25">
      <c r="A48" s="2" t="s">
        <v>2380</v>
      </c>
      <c r="B48" t="b">
        <v>0</v>
      </c>
      <c r="D48">
        <f t="shared" si="3"/>
        <v>63</v>
      </c>
      <c r="E48">
        <f t="shared" si="4"/>
        <v>20</v>
      </c>
      <c r="F48" t="str">
        <f t="shared" si="0"/>
        <v/>
      </c>
      <c r="G48" s="4">
        <f t="shared" si="1"/>
        <v>0</v>
      </c>
      <c r="H48" t="str">
        <f t="shared" si="2"/>
        <v/>
      </c>
    </row>
    <row r="49" spans="1:8" ht="15.75" thickBot="1" x14ac:dyDescent="0.3">
      <c r="A49" s="3" t="s">
        <v>2381</v>
      </c>
      <c r="B49" t="b">
        <v>1</v>
      </c>
      <c r="D49">
        <f t="shared" si="3"/>
        <v>63</v>
      </c>
      <c r="E49">
        <f t="shared" si="4"/>
        <v>20</v>
      </c>
      <c r="F49" t="str">
        <f t="shared" si="0"/>
        <v>Buzzsaw</v>
      </c>
      <c r="G49" s="4">
        <f t="shared" si="1"/>
        <v>0</v>
      </c>
      <c r="H49" t="str">
        <f t="shared" si="2"/>
        <v>After impact, the Guillotine continues rapidly forward, dealing damage to enemies in the line.</v>
      </c>
    </row>
    <row r="50" spans="1:8" ht="28.5" x14ac:dyDescent="0.25">
      <c r="A50" s="2" t="s">
        <v>2382</v>
      </c>
      <c r="B50" t="b">
        <v>0</v>
      </c>
      <c r="D50">
        <f t="shared" si="3"/>
        <v>63</v>
      </c>
      <c r="E50">
        <f t="shared" si="4"/>
        <v>20</v>
      </c>
      <c r="F50" t="str">
        <f t="shared" si="0"/>
        <v/>
      </c>
      <c r="G50" s="4">
        <f t="shared" si="1"/>
        <v>0</v>
      </c>
      <c r="H50" t="str">
        <f t="shared" si="2"/>
        <v/>
      </c>
    </row>
    <row r="51" spans="1:8" ht="15.75" thickBot="1" x14ac:dyDescent="0.3">
      <c r="A51" s="3" t="s">
        <v>2383</v>
      </c>
      <c r="B51" t="b">
        <v>1</v>
      </c>
      <c r="D51">
        <f t="shared" si="3"/>
        <v>63</v>
      </c>
      <c r="E51">
        <f t="shared" si="4"/>
        <v>20</v>
      </c>
      <c r="F51" t="str">
        <f t="shared" si="0"/>
        <v>Ensnare</v>
      </c>
      <c r="G51" s="4" t="str">
        <f t="shared" si="1"/>
        <v>60</v>
      </c>
      <c r="H51" t="str">
        <f t="shared" si="2"/>
        <v>Throw a net forward, rooting the first enemy hit.</v>
      </c>
    </row>
    <row r="52" spans="1:8" x14ac:dyDescent="0.25">
      <c r="A52" s="2" t="s">
        <v>1667</v>
      </c>
      <c r="B52" t="b">
        <v>0</v>
      </c>
      <c r="D52">
        <f t="shared" si="3"/>
        <v>63</v>
      </c>
      <c r="E52">
        <f t="shared" si="4"/>
        <v>20</v>
      </c>
      <c r="F52" t="str">
        <f t="shared" si="0"/>
        <v/>
      </c>
      <c r="G52" s="4">
        <f t="shared" si="1"/>
        <v>0</v>
      </c>
      <c r="H52" t="str">
        <f t="shared" si="2"/>
        <v/>
      </c>
    </row>
    <row r="53" spans="1:8" x14ac:dyDescent="0.25">
      <c r="A53" s="2" t="s">
        <v>2384</v>
      </c>
      <c r="B53" t="b">
        <v>0</v>
      </c>
      <c r="D53">
        <f t="shared" si="3"/>
        <v>63</v>
      </c>
      <c r="E53">
        <f t="shared" si="4"/>
        <v>20</v>
      </c>
      <c r="F53" t="str">
        <f t="shared" si="0"/>
        <v/>
      </c>
      <c r="G53" s="4">
        <f t="shared" si="1"/>
        <v>0</v>
      </c>
      <c r="H53" t="str">
        <f t="shared" si="2"/>
        <v/>
      </c>
    </row>
    <row r="54" spans="1:8" x14ac:dyDescent="0.25">
      <c r="B54" t="b">
        <v>0</v>
      </c>
      <c r="D54">
        <f t="shared" si="3"/>
        <v>63</v>
      </c>
      <c r="E54">
        <f t="shared" si="4"/>
        <v>20</v>
      </c>
      <c r="F54" t="str">
        <f t="shared" si="0"/>
        <v/>
      </c>
      <c r="G54" s="4">
        <f t="shared" si="1"/>
        <v>0</v>
      </c>
      <c r="H54" t="str">
        <f t="shared" si="2"/>
        <v/>
      </c>
    </row>
    <row r="55" spans="1:8" x14ac:dyDescent="0.25">
      <c r="B55" t="b">
        <v>0</v>
      </c>
      <c r="D55">
        <f t="shared" si="3"/>
        <v>63</v>
      </c>
      <c r="E55">
        <f t="shared" si="4"/>
        <v>20</v>
      </c>
      <c r="F55" t="str">
        <f t="shared" si="0"/>
        <v/>
      </c>
      <c r="G55" s="4">
        <f t="shared" si="1"/>
        <v>0</v>
      </c>
      <c r="H55" t="str">
        <f t="shared" si="2"/>
        <v/>
      </c>
    </row>
    <row r="56" spans="1:8" x14ac:dyDescent="0.25">
      <c r="B56" t="b">
        <v>0</v>
      </c>
      <c r="D56">
        <f t="shared" si="3"/>
        <v>63</v>
      </c>
      <c r="E56">
        <f t="shared" si="4"/>
        <v>20</v>
      </c>
      <c r="F56" t="str">
        <f t="shared" si="0"/>
        <v/>
      </c>
      <c r="G56" s="4">
        <f t="shared" si="1"/>
        <v>0</v>
      </c>
      <c r="H56" t="str">
        <f t="shared" si="2"/>
        <v/>
      </c>
    </row>
    <row r="57" spans="1:8" x14ac:dyDescent="0.25">
      <c r="B57" t="b">
        <v>0</v>
      </c>
      <c r="D57">
        <f t="shared" si="3"/>
        <v>63</v>
      </c>
      <c r="E57">
        <f t="shared" si="4"/>
        <v>20</v>
      </c>
      <c r="F57" t="str">
        <f t="shared" si="0"/>
        <v/>
      </c>
      <c r="G57" s="4">
        <f t="shared" si="1"/>
        <v>0</v>
      </c>
      <c r="H57" t="str">
        <f t="shared" si="2"/>
        <v/>
      </c>
    </row>
    <row r="58" spans="1:8" x14ac:dyDescent="0.25">
      <c r="B58" t="b">
        <v>0</v>
      </c>
      <c r="D58">
        <f t="shared" si="3"/>
        <v>63</v>
      </c>
      <c r="E58">
        <f t="shared" si="4"/>
        <v>20</v>
      </c>
      <c r="F58" t="str">
        <f t="shared" si="0"/>
        <v/>
      </c>
      <c r="G58" s="4">
        <f t="shared" si="1"/>
        <v>0</v>
      </c>
      <c r="H58" t="str">
        <f t="shared" si="2"/>
        <v/>
      </c>
    </row>
    <row r="59" spans="1:8" x14ac:dyDescent="0.25">
      <c r="B59" t="b">
        <v>0</v>
      </c>
      <c r="D59">
        <f t="shared" si="3"/>
        <v>63</v>
      </c>
      <c r="E59">
        <f t="shared" si="4"/>
        <v>20</v>
      </c>
      <c r="F59" t="str">
        <f t="shared" si="0"/>
        <v/>
      </c>
      <c r="G59" s="4">
        <f t="shared" si="1"/>
        <v>0</v>
      </c>
      <c r="H59" t="str">
        <f t="shared" si="2"/>
        <v/>
      </c>
    </row>
    <row r="60" spans="1:8" x14ac:dyDescent="0.25">
      <c r="B60" t="b">
        <v>0</v>
      </c>
      <c r="D60">
        <f t="shared" si="3"/>
        <v>63</v>
      </c>
      <c r="E60">
        <f t="shared" si="4"/>
        <v>20</v>
      </c>
      <c r="F60" t="str">
        <f t="shared" si="0"/>
        <v/>
      </c>
      <c r="G60" s="4">
        <f t="shared" si="1"/>
        <v>0</v>
      </c>
      <c r="H60" t="str">
        <f t="shared" si="2"/>
        <v/>
      </c>
    </row>
    <row r="61" spans="1:8" x14ac:dyDescent="0.25">
      <c r="B61" t="b">
        <v>0</v>
      </c>
      <c r="D61">
        <f t="shared" si="3"/>
        <v>63</v>
      </c>
      <c r="E61">
        <f t="shared" si="4"/>
        <v>20</v>
      </c>
      <c r="F61" t="str">
        <f t="shared" si="0"/>
        <v/>
      </c>
      <c r="G61" s="4">
        <f t="shared" si="1"/>
        <v>0</v>
      </c>
      <c r="H61" t="str">
        <f t="shared" si="2"/>
        <v/>
      </c>
    </row>
    <row r="62" spans="1:8" x14ac:dyDescent="0.25">
      <c r="B62" t="b">
        <v>0</v>
      </c>
      <c r="D62">
        <f t="shared" si="3"/>
        <v>63</v>
      </c>
      <c r="E62">
        <f t="shared" si="4"/>
        <v>20</v>
      </c>
      <c r="F62" t="str">
        <f t="shared" si="0"/>
        <v/>
      </c>
      <c r="G62" s="4">
        <f t="shared" si="1"/>
        <v>0</v>
      </c>
      <c r="H62" t="str">
        <f t="shared" si="2"/>
        <v/>
      </c>
    </row>
    <row r="63" spans="1:8" x14ac:dyDescent="0.25">
      <c r="B63" t="b">
        <v>0</v>
      </c>
      <c r="D63">
        <f t="shared" si="3"/>
        <v>63</v>
      </c>
      <c r="E63">
        <f t="shared" si="4"/>
        <v>20</v>
      </c>
      <c r="F63" t="str">
        <f t="shared" si="0"/>
        <v/>
      </c>
      <c r="G63" s="4">
        <f t="shared" si="1"/>
        <v>0</v>
      </c>
      <c r="H63" t="str">
        <f t="shared" si="2"/>
        <v/>
      </c>
    </row>
    <row r="64" spans="1:8" x14ac:dyDescent="0.25">
      <c r="B64" t="b">
        <v>0</v>
      </c>
      <c r="D64">
        <f t="shared" si="3"/>
        <v>63</v>
      </c>
      <c r="E64">
        <f t="shared" si="4"/>
        <v>20</v>
      </c>
      <c r="F64" t="str">
        <f t="shared" si="0"/>
        <v/>
      </c>
      <c r="G64" s="4">
        <f t="shared" si="1"/>
        <v>0</v>
      </c>
      <c r="H64" t="str">
        <f t="shared" si="2"/>
        <v/>
      </c>
    </row>
    <row r="65" spans="2:8" x14ac:dyDescent="0.25">
      <c r="B65" t="b">
        <v>0</v>
      </c>
      <c r="D65">
        <f t="shared" si="3"/>
        <v>63</v>
      </c>
      <c r="E65">
        <f t="shared" si="4"/>
        <v>20</v>
      </c>
      <c r="F65" t="str">
        <f t="shared" si="0"/>
        <v/>
      </c>
      <c r="G65" s="4">
        <f t="shared" si="1"/>
        <v>0</v>
      </c>
      <c r="H65" t="str">
        <f t="shared" si="2"/>
        <v/>
      </c>
    </row>
    <row r="66" spans="2:8" x14ac:dyDescent="0.25">
      <c r="B66" t="b">
        <v>0</v>
      </c>
      <c r="D66">
        <f t="shared" si="3"/>
        <v>63</v>
      </c>
      <c r="E66">
        <f t="shared" si="4"/>
        <v>20</v>
      </c>
      <c r="F66" t="str">
        <f t="shared" ref="F66:F100" si="5">IF(($B66=TRUE),$A66,"")</f>
        <v/>
      </c>
      <c r="G66" s="4">
        <f t="shared" ref="G66:G100" si="6">IF((LEFT($A67,9)="Cooldown:"),REPLACE($A67,1,10,""),0)</f>
        <v>0</v>
      </c>
      <c r="H66" t="str">
        <f t="shared" ref="H66:H100" si="7">IF($F66="","",IF($G66=0,$A67,$A68))</f>
        <v/>
      </c>
    </row>
    <row r="67" spans="2:8" x14ac:dyDescent="0.25">
      <c r="B67" t="b">
        <v>0</v>
      </c>
      <c r="D67">
        <f t="shared" ref="D67:D100" si="8">$D$1</f>
        <v>63</v>
      </c>
      <c r="E67">
        <f t="shared" ref="E67:E100" si="9">IF(ISNUMBER($A67),$A67,$E66)</f>
        <v>20</v>
      </c>
      <c r="F67" t="str">
        <f t="shared" si="5"/>
        <v/>
      </c>
      <c r="G67" s="4">
        <f t="shared" si="6"/>
        <v>0</v>
      </c>
      <c r="H67" t="str">
        <f t="shared" si="7"/>
        <v/>
      </c>
    </row>
    <row r="68" spans="2:8" x14ac:dyDescent="0.25">
      <c r="B68" t="b">
        <v>0</v>
      </c>
      <c r="D68">
        <f t="shared" si="8"/>
        <v>63</v>
      </c>
      <c r="E68">
        <f t="shared" si="9"/>
        <v>20</v>
      </c>
      <c r="F68" t="str">
        <f t="shared" si="5"/>
        <v/>
      </c>
      <c r="G68" s="4">
        <f t="shared" si="6"/>
        <v>0</v>
      </c>
      <c r="H68" t="str">
        <f t="shared" si="7"/>
        <v/>
      </c>
    </row>
    <row r="69" spans="2:8" x14ac:dyDescent="0.25">
      <c r="B69" t="b">
        <v>0</v>
      </c>
      <c r="D69">
        <f t="shared" si="8"/>
        <v>63</v>
      </c>
      <c r="E69">
        <f t="shared" si="9"/>
        <v>20</v>
      </c>
      <c r="F69" t="str">
        <f t="shared" si="5"/>
        <v/>
      </c>
      <c r="G69" s="4">
        <f t="shared" si="6"/>
        <v>0</v>
      </c>
      <c r="H69" t="str">
        <f t="shared" si="7"/>
        <v/>
      </c>
    </row>
    <row r="70" spans="2:8" x14ac:dyDescent="0.25">
      <c r="B70" t="b">
        <v>0</v>
      </c>
      <c r="D70">
        <f t="shared" si="8"/>
        <v>63</v>
      </c>
      <c r="E70">
        <f t="shared" si="9"/>
        <v>20</v>
      </c>
      <c r="F70" t="str">
        <f t="shared" si="5"/>
        <v/>
      </c>
      <c r="G70" s="4">
        <f t="shared" si="6"/>
        <v>0</v>
      </c>
      <c r="H70" t="str">
        <f t="shared" si="7"/>
        <v/>
      </c>
    </row>
    <row r="71" spans="2:8" x14ac:dyDescent="0.25">
      <c r="B71" t="b">
        <v>0</v>
      </c>
      <c r="D71">
        <f t="shared" si="8"/>
        <v>63</v>
      </c>
      <c r="E71">
        <f t="shared" si="9"/>
        <v>20</v>
      </c>
      <c r="F71" t="str">
        <f t="shared" si="5"/>
        <v/>
      </c>
      <c r="G71" s="4">
        <f t="shared" si="6"/>
        <v>0</v>
      </c>
      <c r="H71" t="str">
        <f t="shared" si="7"/>
        <v/>
      </c>
    </row>
    <row r="72" spans="2:8" x14ac:dyDescent="0.25">
      <c r="B72" t="b">
        <v>0</v>
      </c>
      <c r="D72">
        <f t="shared" si="8"/>
        <v>63</v>
      </c>
      <c r="E72">
        <f t="shared" si="9"/>
        <v>20</v>
      </c>
      <c r="F72" t="str">
        <f t="shared" si="5"/>
        <v/>
      </c>
      <c r="G72" s="4">
        <f t="shared" si="6"/>
        <v>0</v>
      </c>
      <c r="H72" t="str">
        <f t="shared" si="7"/>
        <v/>
      </c>
    </row>
    <row r="73" spans="2:8" x14ac:dyDescent="0.25">
      <c r="B73" t="b">
        <v>0</v>
      </c>
      <c r="D73">
        <f t="shared" si="8"/>
        <v>63</v>
      </c>
      <c r="E73">
        <f t="shared" si="9"/>
        <v>20</v>
      </c>
      <c r="F73" t="str">
        <f t="shared" si="5"/>
        <v/>
      </c>
      <c r="G73" s="4">
        <f t="shared" si="6"/>
        <v>0</v>
      </c>
      <c r="H73" t="str">
        <f t="shared" si="7"/>
        <v/>
      </c>
    </row>
    <row r="74" spans="2:8" x14ac:dyDescent="0.25">
      <c r="B74" t="b">
        <v>0</v>
      </c>
      <c r="D74">
        <f t="shared" si="8"/>
        <v>63</v>
      </c>
      <c r="E74">
        <f t="shared" si="9"/>
        <v>20</v>
      </c>
      <c r="F74" t="str">
        <f t="shared" si="5"/>
        <v/>
      </c>
      <c r="G74" s="4">
        <f t="shared" si="6"/>
        <v>0</v>
      </c>
      <c r="H74" t="str">
        <f t="shared" si="7"/>
        <v/>
      </c>
    </row>
    <row r="75" spans="2:8" x14ac:dyDescent="0.25">
      <c r="B75" t="b">
        <v>0</v>
      </c>
      <c r="D75">
        <f t="shared" si="8"/>
        <v>63</v>
      </c>
      <c r="E75">
        <f t="shared" si="9"/>
        <v>20</v>
      </c>
      <c r="F75" t="str">
        <f t="shared" si="5"/>
        <v/>
      </c>
      <c r="G75" s="4">
        <f t="shared" si="6"/>
        <v>0</v>
      </c>
      <c r="H75" t="str">
        <f t="shared" si="7"/>
        <v/>
      </c>
    </row>
    <row r="76" spans="2:8" x14ac:dyDescent="0.25">
      <c r="B76" t="b">
        <v>0</v>
      </c>
      <c r="D76">
        <f t="shared" si="8"/>
        <v>63</v>
      </c>
      <c r="E76">
        <f t="shared" si="9"/>
        <v>20</v>
      </c>
      <c r="F76" t="str">
        <f t="shared" si="5"/>
        <v/>
      </c>
      <c r="G76" s="4">
        <f t="shared" si="6"/>
        <v>0</v>
      </c>
      <c r="H76" t="str">
        <f t="shared" si="7"/>
        <v/>
      </c>
    </row>
    <row r="77" spans="2:8" x14ac:dyDescent="0.25">
      <c r="B77" t="b">
        <v>0</v>
      </c>
      <c r="D77">
        <f t="shared" si="8"/>
        <v>63</v>
      </c>
      <c r="E77">
        <f t="shared" si="9"/>
        <v>20</v>
      </c>
      <c r="F77" t="str">
        <f t="shared" si="5"/>
        <v/>
      </c>
      <c r="G77" s="4">
        <f t="shared" si="6"/>
        <v>0</v>
      </c>
      <c r="H77" t="str">
        <f t="shared" si="7"/>
        <v/>
      </c>
    </row>
    <row r="78" spans="2:8" x14ac:dyDescent="0.25">
      <c r="B78" t="b">
        <v>0</v>
      </c>
      <c r="D78">
        <f t="shared" si="8"/>
        <v>63</v>
      </c>
      <c r="E78">
        <f t="shared" si="9"/>
        <v>20</v>
      </c>
      <c r="F78" t="str">
        <f t="shared" si="5"/>
        <v/>
      </c>
      <c r="G78" s="4">
        <f t="shared" si="6"/>
        <v>0</v>
      </c>
      <c r="H78" t="str">
        <f t="shared" si="7"/>
        <v/>
      </c>
    </row>
    <row r="79" spans="2:8" x14ac:dyDescent="0.25">
      <c r="B79" t="b">
        <v>0</v>
      </c>
      <c r="D79">
        <f t="shared" si="8"/>
        <v>63</v>
      </c>
      <c r="E79">
        <f t="shared" si="9"/>
        <v>20</v>
      </c>
      <c r="F79" t="str">
        <f t="shared" si="5"/>
        <v/>
      </c>
      <c r="G79" s="4">
        <f t="shared" si="6"/>
        <v>0</v>
      </c>
      <c r="H79" t="str">
        <f t="shared" si="7"/>
        <v/>
      </c>
    </row>
    <row r="80" spans="2:8" x14ac:dyDescent="0.25">
      <c r="B80" t="b">
        <v>0</v>
      </c>
      <c r="D80">
        <f t="shared" si="8"/>
        <v>63</v>
      </c>
      <c r="E80">
        <f t="shared" si="9"/>
        <v>20</v>
      </c>
      <c r="F80" t="str">
        <f t="shared" si="5"/>
        <v/>
      </c>
      <c r="G80" s="4">
        <f t="shared" si="6"/>
        <v>0</v>
      </c>
      <c r="H80" t="str">
        <f t="shared" si="7"/>
        <v/>
      </c>
    </row>
    <row r="81" spans="2:8" x14ac:dyDescent="0.25">
      <c r="B81" t="b">
        <v>0</v>
      </c>
      <c r="D81">
        <f t="shared" si="8"/>
        <v>63</v>
      </c>
      <c r="E81">
        <f t="shared" si="9"/>
        <v>20</v>
      </c>
      <c r="F81" t="str">
        <f t="shared" si="5"/>
        <v/>
      </c>
      <c r="G81" s="4">
        <f t="shared" si="6"/>
        <v>0</v>
      </c>
      <c r="H81" t="str">
        <f t="shared" si="7"/>
        <v/>
      </c>
    </row>
    <row r="82" spans="2:8" x14ac:dyDescent="0.25">
      <c r="B82" t="b">
        <v>0</v>
      </c>
      <c r="D82">
        <f t="shared" si="8"/>
        <v>63</v>
      </c>
      <c r="E82">
        <f t="shared" si="9"/>
        <v>20</v>
      </c>
      <c r="F82" t="str">
        <f t="shared" si="5"/>
        <v/>
      </c>
      <c r="G82" s="4">
        <f t="shared" si="6"/>
        <v>0</v>
      </c>
      <c r="H82" t="str">
        <f t="shared" si="7"/>
        <v/>
      </c>
    </row>
    <row r="83" spans="2:8" x14ac:dyDescent="0.25">
      <c r="B83" t="b">
        <v>0</v>
      </c>
      <c r="D83">
        <f t="shared" si="8"/>
        <v>63</v>
      </c>
      <c r="E83">
        <f t="shared" si="9"/>
        <v>20</v>
      </c>
      <c r="F83" t="str">
        <f t="shared" si="5"/>
        <v/>
      </c>
      <c r="G83" s="4">
        <f t="shared" si="6"/>
        <v>0</v>
      </c>
      <c r="H83" t="str">
        <f t="shared" si="7"/>
        <v/>
      </c>
    </row>
    <row r="84" spans="2:8" x14ac:dyDescent="0.25">
      <c r="B84" t="b">
        <v>0</v>
      </c>
      <c r="D84">
        <f t="shared" si="8"/>
        <v>63</v>
      </c>
      <c r="E84">
        <f t="shared" si="9"/>
        <v>20</v>
      </c>
      <c r="F84" t="str">
        <f t="shared" si="5"/>
        <v/>
      </c>
      <c r="G84" s="4">
        <f t="shared" si="6"/>
        <v>0</v>
      </c>
      <c r="H84" t="str">
        <f t="shared" si="7"/>
        <v/>
      </c>
    </row>
    <row r="85" spans="2:8" x14ac:dyDescent="0.25">
      <c r="B85" t="b">
        <v>0</v>
      </c>
      <c r="D85">
        <f t="shared" si="8"/>
        <v>63</v>
      </c>
      <c r="E85">
        <f t="shared" si="9"/>
        <v>20</v>
      </c>
      <c r="F85" t="str">
        <f t="shared" si="5"/>
        <v/>
      </c>
      <c r="G85" s="4">
        <f t="shared" si="6"/>
        <v>0</v>
      </c>
      <c r="H85" t="str">
        <f t="shared" si="7"/>
        <v/>
      </c>
    </row>
    <row r="86" spans="2:8" x14ac:dyDescent="0.25">
      <c r="B86" t="b">
        <v>0</v>
      </c>
      <c r="D86">
        <f t="shared" si="8"/>
        <v>63</v>
      </c>
      <c r="E86">
        <f t="shared" si="9"/>
        <v>20</v>
      </c>
      <c r="F86" t="str">
        <f t="shared" si="5"/>
        <v/>
      </c>
      <c r="G86" s="4">
        <f t="shared" si="6"/>
        <v>0</v>
      </c>
      <c r="H86" t="str">
        <f t="shared" si="7"/>
        <v/>
      </c>
    </row>
    <row r="87" spans="2:8" x14ac:dyDescent="0.25">
      <c r="B87" t="b">
        <v>0</v>
      </c>
      <c r="D87">
        <f t="shared" si="8"/>
        <v>63</v>
      </c>
      <c r="E87">
        <f t="shared" si="9"/>
        <v>20</v>
      </c>
      <c r="F87" t="str">
        <f t="shared" si="5"/>
        <v/>
      </c>
      <c r="G87" s="4">
        <f t="shared" si="6"/>
        <v>0</v>
      </c>
      <c r="H87" t="str">
        <f t="shared" si="7"/>
        <v/>
      </c>
    </row>
    <row r="88" spans="2:8" x14ac:dyDescent="0.25">
      <c r="B88" t="b">
        <v>0</v>
      </c>
      <c r="D88">
        <f t="shared" si="8"/>
        <v>63</v>
      </c>
      <c r="E88">
        <f t="shared" si="9"/>
        <v>20</v>
      </c>
      <c r="F88" t="str">
        <f t="shared" si="5"/>
        <v/>
      </c>
      <c r="G88" s="4">
        <f t="shared" si="6"/>
        <v>0</v>
      </c>
      <c r="H88" t="str">
        <f t="shared" si="7"/>
        <v/>
      </c>
    </row>
    <row r="89" spans="2:8" x14ac:dyDescent="0.25">
      <c r="B89" t="b">
        <v>0</v>
      </c>
      <c r="D89">
        <f t="shared" si="8"/>
        <v>63</v>
      </c>
      <c r="E89">
        <f t="shared" si="9"/>
        <v>20</v>
      </c>
      <c r="F89" t="str">
        <f t="shared" si="5"/>
        <v/>
      </c>
      <c r="G89" s="4">
        <f t="shared" si="6"/>
        <v>0</v>
      </c>
      <c r="H89" t="str">
        <f t="shared" si="7"/>
        <v/>
      </c>
    </row>
    <row r="90" spans="2:8" x14ac:dyDescent="0.25">
      <c r="B90" t="b">
        <v>0</v>
      </c>
      <c r="D90">
        <f t="shared" si="8"/>
        <v>63</v>
      </c>
      <c r="E90">
        <f t="shared" si="9"/>
        <v>20</v>
      </c>
      <c r="F90" t="str">
        <f t="shared" si="5"/>
        <v/>
      </c>
      <c r="G90" s="4">
        <f t="shared" si="6"/>
        <v>0</v>
      </c>
      <c r="H90" t="str">
        <f t="shared" si="7"/>
        <v/>
      </c>
    </row>
    <row r="91" spans="2:8" x14ac:dyDescent="0.25">
      <c r="B91" t="b">
        <v>0</v>
      </c>
      <c r="D91">
        <f t="shared" si="8"/>
        <v>63</v>
      </c>
      <c r="E91">
        <f t="shared" si="9"/>
        <v>20</v>
      </c>
      <c r="F91" t="str">
        <f t="shared" si="5"/>
        <v/>
      </c>
      <c r="G91" s="4">
        <f t="shared" si="6"/>
        <v>0</v>
      </c>
      <c r="H91" t="str">
        <f t="shared" si="7"/>
        <v/>
      </c>
    </row>
    <row r="92" spans="2:8" x14ac:dyDescent="0.25">
      <c r="B92" t="b">
        <v>0</v>
      </c>
      <c r="D92">
        <f t="shared" si="8"/>
        <v>63</v>
      </c>
      <c r="E92">
        <f t="shared" si="9"/>
        <v>20</v>
      </c>
      <c r="F92" t="str">
        <f t="shared" si="5"/>
        <v/>
      </c>
      <c r="G92" s="4">
        <f t="shared" si="6"/>
        <v>0</v>
      </c>
      <c r="H92" t="str">
        <f t="shared" si="7"/>
        <v/>
      </c>
    </row>
    <row r="93" spans="2:8" x14ac:dyDescent="0.25">
      <c r="B93" t="b">
        <v>0</v>
      </c>
      <c r="D93">
        <f t="shared" si="8"/>
        <v>63</v>
      </c>
      <c r="E93">
        <f t="shared" si="9"/>
        <v>20</v>
      </c>
      <c r="F93" t="str">
        <f t="shared" si="5"/>
        <v/>
      </c>
      <c r="G93" s="4">
        <f t="shared" si="6"/>
        <v>0</v>
      </c>
      <c r="H93" t="str">
        <f t="shared" si="7"/>
        <v/>
      </c>
    </row>
    <row r="94" spans="2:8" x14ac:dyDescent="0.25">
      <c r="B94" t="b">
        <v>0</v>
      </c>
      <c r="D94">
        <f t="shared" si="8"/>
        <v>63</v>
      </c>
      <c r="E94">
        <f t="shared" si="9"/>
        <v>20</v>
      </c>
      <c r="F94" t="str">
        <f t="shared" si="5"/>
        <v/>
      </c>
      <c r="G94" s="4">
        <f t="shared" si="6"/>
        <v>0</v>
      </c>
      <c r="H94" t="str">
        <f t="shared" si="7"/>
        <v/>
      </c>
    </row>
    <row r="95" spans="2:8" x14ac:dyDescent="0.25">
      <c r="B95" t="b">
        <v>0</v>
      </c>
      <c r="D95">
        <f t="shared" si="8"/>
        <v>63</v>
      </c>
      <c r="E95">
        <f t="shared" si="9"/>
        <v>20</v>
      </c>
      <c r="F95" t="str">
        <f t="shared" si="5"/>
        <v/>
      </c>
      <c r="G95" s="4">
        <f t="shared" si="6"/>
        <v>0</v>
      </c>
      <c r="H95" t="str">
        <f t="shared" si="7"/>
        <v/>
      </c>
    </row>
    <row r="96" spans="2:8" x14ac:dyDescent="0.25">
      <c r="B96" t="b">
        <v>0</v>
      </c>
      <c r="D96">
        <f t="shared" si="8"/>
        <v>63</v>
      </c>
      <c r="E96">
        <f t="shared" si="9"/>
        <v>20</v>
      </c>
      <c r="F96" t="str">
        <f t="shared" si="5"/>
        <v/>
      </c>
      <c r="G96" s="4">
        <f t="shared" si="6"/>
        <v>0</v>
      </c>
      <c r="H96" t="str">
        <f t="shared" si="7"/>
        <v/>
      </c>
    </row>
    <row r="97" spans="2:8" x14ac:dyDescent="0.25">
      <c r="B97" t="b">
        <v>0</v>
      </c>
      <c r="D97">
        <f t="shared" si="8"/>
        <v>63</v>
      </c>
      <c r="E97">
        <f t="shared" si="9"/>
        <v>20</v>
      </c>
      <c r="F97" t="str">
        <f t="shared" si="5"/>
        <v/>
      </c>
      <c r="G97" s="4">
        <f t="shared" si="6"/>
        <v>0</v>
      </c>
      <c r="H97" t="str">
        <f t="shared" si="7"/>
        <v/>
      </c>
    </row>
    <row r="98" spans="2:8" x14ac:dyDescent="0.25">
      <c r="B98" t="b">
        <v>0</v>
      </c>
      <c r="D98">
        <f t="shared" si="8"/>
        <v>63</v>
      </c>
      <c r="E98">
        <f t="shared" si="9"/>
        <v>20</v>
      </c>
      <c r="F98" t="str">
        <f t="shared" si="5"/>
        <v/>
      </c>
      <c r="G98" s="4">
        <f t="shared" si="6"/>
        <v>0</v>
      </c>
      <c r="H98" t="str">
        <f t="shared" si="7"/>
        <v/>
      </c>
    </row>
    <row r="99" spans="2:8" x14ac:dyDescent="0.25">
      <c r="B99" t="b">
        <v>0</v>
      </c>
      <c r="D99">
        <f t="shared" si="8"/>
        <v>63</v>
      </c>
      <c r="E99">
        <f t="shared" si="9"/>
        <v>20</v>
      </c>
      <c r="F99" t="str">
        <f t="shared" si="5"/>
        <v/>
      </c>
      <c r="G99" s="4">
        <f t="shared" si="6"/>
        <v>0</v>
      </c>
      <c r="H99" t="str">
        <f t="shared" si="7"/>
        <v/>
      </c>
    </row>
    <row r="100" spans="2:8" x14ac:dyDescent="0.25">
      <c r="B100" t="b">
        <v>0</v>
      </c>
      <c r="D100">
        <f t="shared" si="8"/>
        <v>63</v>
      </c>
      <c r="E100">
        <f t="shared" si="9"/>
        <v>20</v>
      </c>
      <c r="F100" t="str">
        <f t="shared" si="5"/>
        <v/>
      </c>
      <c r="G100" s="4">
        <f t="shared" si="6"/>
        <v>0</v>
      </c>
      <c r="H100" t="str">
        <f t="shared" si="7"/>
        <v/>
      </c>
    </row>
    <row r="101" spans="2:8" x14ac:dyDescent="0.25">
      <c r="B101" t="b">
        <v>0</v>
      </c>
      <c r="G101" s="4"/>
    </row>
    <row r="102" spans="2:8" x14ac:dyDescent="0.25">
      <c r="B102" t="b">
        <v>0</v>
      </c>
    </row>
    <row r="103" spans="2:8" x14ac:dyDescent="0.25">
      <c r="B103" t="b">
        <v>0</v>
      </c>
    </row>
    <row r="104" spans="2:8" x14ac:dyDescent="0.25">
      <c r="B104" t="b">
        <v>0</v>
      </c>
    </row>
    <row r="105" spans="2:8" x14ac:dyDescent="0.25">
      <c r="B105" t="b">
        <v>0</v>
      </c>
    </row>
    <row r="106" spans="2:8" x14ac:dyDescent="0.25">
      <c r="B106" t="b">
        <v>0</v>
      </c>
    </row>
    <row r="107" spans="2:8" x14ac:dyDescent="0.25">
      <c r="B107" t="b">
        <v>0</v>
      </c>
    </row>
    <row r="108" spans="2:8" x14ac:dyDescent="0.25">
      <c r="B108" t="b">
        <v>0</v>
      </c>
    </row>
    <row r="109" spans="2:8" x14ac:dyDescent="0.25">
      <c r="B109" t="b">
        <v>0</v>
      </c>
    </row>
    <row r="110" spans="2:8" x14ac:dyDescent="0.25">
      <c r="B110" t="b">
        <v>0</v>
      </c>
    </row>
    <row r="111" spans="2:8" x14ac:dyDescent="0.25">
      <c r="B111" t="b">
        <v>0</v>
      </c>
    </row>
    <row r="112" spans="2:8" x14ac:dyDescent="0.25">
      <c r="B112" t="b">
        <v>0</v>
      </c>
    </row>
    <row r="113" spans="2:2" x14ac:dyDescent="0.25">
      <c r="B113" t="b">
        <v>0</v>
      </c>
    </row>
    <row r="114" spans="2:2" x14ac:dyDescent="0.25">
      <c r="B114" t="b">
        <v>0</v>
      </c>
    </row>
    <row r="115" spans="2:2" x14ac:dyDescent="0.25">
      <c r="B115" t="b">
        <v>0</v>
      </c>
    </row>
    <row r="116" spans="2:2" x14ac:dyDescent="0.25">
      <c r="B116" t="b">
        <v>0</v>
      </c>
    </row>
    <row r="117" spans="2:2" x14ac:dyDescent="0.25">
      <c r="B117" t="b">
        <v>0</v>
      </c>
    </row>
    <row r="118" spans="2:2" x14ac:dyDescent="0.25">
      <c r="B118" t="b">
        <v>0</v>
      </c>
    </row>
    <row r="119" spans="2:2" x14ac:dyDescent="0.25">
      <c r="B119" t="b">
        <v>0</v>
      </c>
    </row>
    <row r="120" spans="2:2" x14ac:dyDescent="0.25">
      <c r="B120" t="b">
        <v>0</v>
      </c>
    </row>
    <row r="121" spans="2:2" x14ac:dyDescent="0.25">
      <c r="B121" t="b">
        <v>0</v>
      </c>
    </row>
    <row r="122" spans="2:2" x14ac:dyDescent="0.25">
      <c r="B122" t="b">
        <v>0</v>
      </c>
    </row>
    <row r="123" spans="2:2" x14ac:dyDescent="0.25">
      <c r="B123" t="b">
        <v>0</v>
      </c>
    </row>
    <row r="124" spans="2:2" x14ac:dyDescent="0.25">
      <c r="B124" t="b">
        <v>0</v>
      </c>
    </row>
    <row r="125" spans="2:2" x14ac:dyDescent="0.25">
      <c r="B125" t="b">
        <v>0</v>
      </c>
    </row>
    <row r="126" spans="2:2" x14ac:dyDescent="0.25">
      <c r="B126" t="b">
        <v>0</v>
      </c>
    </row>
    <row r="127" spans="2:2" x14ac:dyDescent="0.25">
      <c r="B127" t="b">
        <v>0</v>
      </c>
    </row>
    <row r="128" spans="2:2" x14ac:dyDescent="0.25">
      <c r="B128" t="b">
        <v>0</v>
      </c>
    </row>
    <row r="129" spans="2:2" x14ac:dyDescent="0.25">
      <c r="B129" t="b">
        <v>0</v>
      </c>
    </row>
    <row r="130" spans="2:2" x14ac:dyDescent="0.25">
      <c r="B130" t="b">
        <v>0</v>
      </c>
    </row>
    <row r="131" spans="2:2" x14ac:dyDescent="0.25">
      <c r="B131" t="b">
        <v>0</v>
      </c>
    </row>
    <row r="132" spans="2:2" x14ac:dyDescent="0.25">
      <c r="B132" t="b">
        <v>0</v>
      </c>
    </row>
    <row r="133" spans="2:2" x14ac:dyDescent="0.25">
      <c r="B133" t="b">
        <v>0</v>
      </c>
    </row>
    <row r="134" spans="2:2" x14ac:dyDescent="0.25">
      <c r="B134" t="b">
        <v>0</v>
      </c>
    </row>
    <row r="135" spans="2:2" x14ac:dyDescent="0.25">
      <c r="B135" t="b">
        <v>0</v>
      </c>
    </row>
    <row r="136" spans="2:2" x14ac:dyDescent="0.25">
      <c r="B136" t="b">
        <v>0</v>
      </c>
    </row>
    <row r="137" spans="2:2" x14ac:dyDescent="0.25">
      <c r="B137" t="b">
        <v>0</v>
      </c>
    </row>
    <row r="138" spans="2:2" x14ac:dyDescent="0.25">
      <c r="B138" t="b">
        <v>0</v>
      </c>
    </row>
    <row r="139" spans="2:2" x14ac:dyDescent="0.25">
      <c r="B139" t="b">
        <v>0</v>
      </c>
    </row>
    <row r="140" spans="2:2" x14ac:dyDescent="0.25">
      <c r="B140" t="b">
        <v>0</v>
      </c>
    </row>
    <row r="1048576" spans="7:7" x14ac:dyDescent="0.25">
      <c r="G1048576">
        <f>SUM(G1:G1048575)</f>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9" r:id="rId4" name="Button 75">
              <controlPr defaultSize="0" print="0" autoFill="0" autoPict="0" macro="[0]!BtnRun_Click">
                <anchor moveWithCells="1" sizeWithCells="1">
                  <from>
                    <xdr:col>2</xdr:col>
                    <xdr:colOff>95250</xdr:colOff>
                    <xdr:row>0</xdr:row>
                    <xdr:rowOff>28575</xdr:rowOff>
                  </from>
                  <to>
                    <xdr:col>2</xdr:col>
                    <xdr:colOff>542925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379"/>
  <sheetViews>
    <sheetView tabSelected="1" topLeftCell="A3063" workbookViewId="0">
      <selection activeCell="D3184" sqref="D1:D1048576"/>
    </sheetView>
  </sheetViews>
  <sheetFormatPr defaultRowHeight="15" x14ac:dyDescent="0.25"/>
  <cols>
    <col min="1" max="3" width="11" customWidth="1"/>
    <col min="4" max="4" width="11" style="6" customWidth="1"/>
    <col min="5" max="5" width="48.42578125" customWidth="1"/>
  </cols>
  <sheetData>
    <row r="1" spans="1:17" x14ac:dyDescent="0.25">
      <c r="A1" t="s">
        <v>40</v>
      </c>
      <c r="B1" t="s">
        <v>41</v>
      </c>
      <c r="C1" t="s">
        <v>42</v>
      </c>
      <c r="D1" s="5" t="s">
        <v>43</v>
      </c>
      <c r="E1" t="s">
        <v>44</v>
      </c>
    </row>
    <row r="2" spans="1:17" hidden="1" x14ac:dyDescent="0.25">
      <c r="A2">
        <v>1</v>
      </c>
      <c r="B2">
        <v>1</v>
      </c>
      <c r="C2" t="s">
        <v>39</v>
      </c>
      <c r="D2" s="4">
        <v>0</v>
      </c>
      <c r="E2" t="s">
        <v>39</v>
      </c>
    </row>
    <row r="3" spans="1:17" hidden="1" x14ac:dyDescent="0.25">
      <c r="A3">
        <v>1</v>
      </c>
      <c r="B3">
        <v>1</v>
      </c>
      <c r="C3" t="s">
        <v>39</v>
      </c>
      <c r="D3" s="4">
        <v>0</v>
      </c>
      <c r="E3" t="s">
        <v>39</v>
      </c>
    </row>
    <row r="4" spans="1:17" hidden="1" x14ac:dyDescent="0.25">
      <c r="A4">
        <v>1</v>
      </c>
      <c r="B4">
        <v>1</v>
      </c>
      <c r="C4" t="s">
        <v>39</v>
      </c>
      <c r="D4" s="4">
        <v>0</v>
      </c>
      <c r="E4" t="s">
        <v>39</v>
      </c>
    </row>
    <row r="5" spans="1:17" hidden="1" x14ac:dyDescent="0.25">
      <c r="A5">
        <v>1</v>
      </c>
      <c r="B5">
        <v>1</v>
      </c>
      <c r="C5" t="s">
        <v>39</v>
      </c>
      <c r="D5" s="4">
        <v>0</v>
      </c>
      <c r="E5" t="s">
        <v>39</v>
      </c>
    </row>
    <row r="6" spans="1:17" hidden="1" x14ac:dyDescent="0.25">
      <c r="A6">
        <v>1</v>
      </c>
      <c r="B6">
        <v>4</v>
      </c>
      <c r="C6" t="s">
        <v>39</v>
      </c>
      <c r="D6" s="4">
        <v>0</v>
      </c>
      <c r="E6" t="s">
        <v>39</v>
      </c>
    </row>
    <row r="7" spans="1:17" hidden="1" x14ac:dyDescent="0.25">
      <c r="A7">
        <v>1</v>
      </c>
      <c r="B7">
        <v>4</v>
      </c>
      <c r="C7" t="s">
        <v>39</v>
      </c>
      <c r="D7" s="4">
        <v>0</v>
      </c>
      <c r="E7" t="s">
        <v>39</v>
      </c>
    </row>
    <row r="8" spans="1:17" hidden="1" x14ac:dyDescent="0.25">
      <c r="A8">
        <v>1</v>
      </c>
      <c r="B8">
        <v>4</v>
      </c>
      <c r="C8" t="s">
        <v>39</v>
      </c>
      <c r="D8" s="4">
        <v>0</v>
      </c>
      <c r="E8" t="s">
        <v>39</v>
      </c>
    </row>
    <row r="9" spans="1:17" hidden="1" x14ac:dyDescent="0.25">
      <c r="A9">
        <v>1</v>
      </c>
      <c r="B9">
        <v>4</v>
      </c>
      <c r="C9" t="s">
        <v>39</v>
      </c>
      <c r="D9" s="4">
        <v>0</v>
      </c>
      <c r="E9" t="s">
        <v>39</v>
      </c>
    </row>
    <row r="10" spans="1:17" hidden="1" x14ac:dyDescent="0.25">
      <c r="A10">
        <v>1</v>
      </c>
      <c r="B10">
        <v>4</v>
      </c>
      <c r="C10" t="s">
        <v>39</v>
      </c>
      <c r="D10" s="4">
        <v>0</v>
      </c>
      <c r="E10" t="s">
        <v>39</v>
      </c>
    </row>
    <row r="11" spans="1:17" hidden="1" x14ac:dyDescent="0.25">
      <c r="A11">
        <v>1</v>
      </c>
      <c r="B11">
        <v>7</v>
      </c>
      <c r="C11" t="s">
        <v>39</v>
      </c>
      <c r="D11" s="4">
        <v>0</v>
      </c>
      <c r="E11" t="s">
        <v>39</v>
      </c>
    </row>
    <row r="12" spans="1:17" hidden="1" x14ac:dyDescent="0.25">
      <c r="A12">
        <v>1</v>
      </c>
      <c r="B12">
        <v>7</v>
      </c>
      <c r="C12" t="s">
        <v>39</v>
      </c>
      <c r="D12" s="4">
        <v>0</v>
      </c>
      <c r="E12" t="s">
        <v>39</v>
      </c>
    </row>
    <row r="13" spans="1:17" hidden="1" x14ac:dyDescent="0.25">
      <c r="A13">
        <v>1</v>
      </c>
      <c r="B13">
        <v>7</v>
      </c>
      <c r="C13" t="s">
        <v>39</v>
      </c>
      <c r="D13" s="4">
        <v>0</v>
      </c>
      <c r="E13" t="s">
        <v>39</v>
      </c>
    </row>
    <row r="14" spans="1:17" hidden="1" x14ac:dyDescent="0.25">
      <c r="A14">
        <v>1</v>
      </c>
      <c r="B14">
        <v>7</v>
      </c>
      <c r="C14" t="s">
        <v>39</v>
      </c>
      <c r="D14" s="4">
        <v>0</v>
      </c>
      <c r="E14" t="s">
        <v>39</v>
      </c>
    </row>
    <row r="15" spans="1:17" hidden="1" x14ac:dyDescent="0.25">
      <c r="A15">
        <v>1</v>
      </c>
      <c r="B15">
        <v>7</v>
      </c>
      <c r="C15" t="s">
        <v>39</v>
      </c>
      <c r="D15" s="4">
        <v>0</v>
      </c>
      <c r="E15" t="s">
        <v>39</v>
      </c>
      <c r="Q15" s="4"/>
    </row>
    <row r="16" spans="1:17" hidden="1" x14ac:dyDescent="0.25">
      <c r="A16">
        <v>1</v>
      </c>
      <c r="B16">
        <v>7</v>
      </c>
      <c r="C16" t="s">
        <v>39</v>
      </c>
      <c r="D16" s="4">
        <v>0</v>
      </c>
      <c r="E16" t="s">
        <v>39</v>
      </c>
      <c r="Q16" s="4"/>
    </row>
    <row r="17" spans="1:17" hidden="1" x14ac:dyDescent="0.25">
      <c r="A17">
        <v>1</v>
      </c>
      <c r="B17">
        <v>10</v>
      </c>
      <c r="C17" t="s">
        <v>39</v>
      </c>
      <c r="D17" s="4">
        <v>0</v>
      </c>
      <c r="E17" t="s">
        <v>39</v>
      </c>
      <c r="Q17" s="4"/>
    </row>
    <row r="18" spans="1:17" hidden="1" x14ac:dyDescent="0.25">
      <c r="A18">
        <v>1</v>
      </c>
      <c r="B18">
        <v>10</v>
      </c>
      <c r="C18" t="s">
        <v>39</v>
      </c>
      <c r="D18" s="4">
        <v>0</v>
      </c>
      <c r="E18" t="s">
        <v>39</v>
      </c>
      <c r="Q18" s="4"/>
    </row>
    <row r="19" spans="1:17" hidden="1" x14ac:dyDescent="0.25">
      <c r="A19">
        <v>1</v>
      </c>
      <c r="B19">
        <v>10</v>
      </c>
      <c r="C19" t="s">
        <v>39</v>
      </c>
      <c r="D19" s="4">
        <v>0</v>
      </c>
      <c r="E19" t="s">
        <v>39</v>
      </c>
      <c r="Q19" s="4"/>
    </row>
    <row r="20" spans="1:17" hidden="1" x14ac:dyDescent="0.25">
      <c r="A20">
        <v>1</v>
      </c>
      <c r="B20">
        <v>13</v>
      </c>
      <c r="C20" t="s">
        <v>39</v>
      </c>
      <c r="D20" s="4">
        <v>0</v>
      </c>
      <c r="E20" t="s">
        <v>39</v>
      </c>
      <c r="Q20" s="4"/>
    </row>
    <row r="21" spans="1:17" hidden="1" x14ac:dyDescent="0.25">
      <c r="A21">
        <v>1</v>
      </c>
      <c r="B21">
        <v>13</v>
      </c>
      <c r="C21" t="s">
        <v>39</v>
      </c>
      <c r="D21" s="4">
        <v>0</v>
      </c>
      <c r="E21" t="s">
        <v>39</v>
      </c>
      <c r="Q21" s="4"/>
    </row>
    <row r="22" spans="1:17" hidden="1" x14ac:dyDescent="0.25">
      <c r="A22">
        <v>1</v>
      </c>
      <c r="B22">
        <v>13</v>
      </c>
      <c r="C22" t="s">
        <v>39</v>
      </c>
      <c r="D22" s="4">
        <v>0</v>
      </c>
      <c r="E22" t="s">
        <v>39</v>
      </c>
      <c r="Q22" s="4"/>
    </row>
    <row r="23" spans="1:17" hidden="1" x14ac:dyDescent="0.25">
      <c r="A23">
        <v>1</v>
      </c>
      <c r="B23">
        <v>13</v>
      </c>
      <c r="C23" t="s">
        <v>39</v>
      </c>
      <c r="D23" s="4">
        <v>0</v>
      </c>
      <c r="E23" t="s">
        <v>39</v>
      </c>
      <c r="Q23" s="4"/>
    </row>
    <row r="24" spans="1:17" hidden="1" x14ac:dyDescent="0.25">
      <c r="A24">
        <v>1</v>
      </c>
      <c r="B24">
        <v>13</v>
      </c>
      <c r="C24" t="s">
        <v>39</v>
      </c>
      <c r="D24" s="4">
        <v>0</v>
      </c>
      <c r="E24" t="s">
        <v>39</v>
      </c>
      <c r="Q24" s="4"/>
    </row>
    <row r="25" spans="1:17" hidden="1" x14ac:dyDescent="0.25">
      <c r="A25">
        <v>1</v>
      </c>
      <c r="B25">
        <v>16</v>
      </c>
      <c r="C25" t="s">
        <v>39</v>
      </c>
      <c r="D25" s="4">
        <v>0</v>
      </c>
      <c r="E25" t="s">
        <v>39</v>
      </c>
      <c r="Q25" s="4"/>
    </row>
    <row r="26" spans="1:17" hidden="1" x14ac:dyDescent="0.25">
      <c r="A26">
        <v>1</v>
      </c>
      <c r="B26">
        <v>16</v>
      </c>
      <c r="C26" t="s">
        <v>39</v>
      </c>
      <c r="D26" s="4">
        <v>0</v>
      </c>
      <c r="E26" t="s">
        <v>39</v>
      </c>
      <c r="Q26" s="4"/>
    </row>
    <row r="27" spans="1:17" hidden="1" x14ac:dyDescent="0.25">
      <c r="A27">
        <v>1</v>
      </c>
      <c r="B27">
        <v>16</v>
      </c>
      <c r="C27" t="s">
        <v>39</v>
      </c>
      <c r="D27" s="4">
        <v>0</v>
      </c>
      <c r="E27" t="s">
        <v>39</v>
      </c>
      <c r="Q27" s="4"/>
    </row>
    <row r="28" spans="1:17" hidden="1" x14ac:dyDescent="0.25">
      <c r="A28">
        <v>1</v>
      </c>
      <c r="B28">
        <v>16</v>
      </c>
      <c r="C28" t="s">
        <v>39</v>
      </c>
      <c r="D28" s="4">
        <v>0</v>
      </c>
      <c r="E28" t="s">
        <v>39</v>
      </c>
      <c r="Q28" s="4"/>
    </row>
    <row r="29" spans="1:17" hidden="1" x14ac:dyDescent="0.25">
      <c r="A29">
        <v>1</v>
      </c>
      <c r="B29">
        <v>16</v>
      </c>
      <c r="C29" t="s">
        <v>39</v>
      </c>
      <c r="D29" s="4">
        <v>0</v>
      </c>
      <c r="E29" t="s">
        <v>39</v>
      </c>
      <c r="Q29" s="4"/>
    </row>
    <row r="30" spans="1:17" hidden="1" x14ac:dyDescent="0.25">
      <c r="A30">
        <v>1</v>
      </c>
      <c r="B30">
        <v>16</v>
      </c>
      <c r="C30" t="s">
        <v>39</v>
      </c>
      <c r="D30" s="4">
        <v>0</v>
      </c>
      <c r="E30" t="s">
        <v>39</v>
      </c>
      <c r="Q30" s="4"/>
    </row>
    <row r="31" spans="1:17" hidden="1" x14ac:dyDescent="0.25">
      <c r="A31">
        <v>1</v>
      </c>
      <c r="B31">
        <v>20</v>
      </c>
      <c r="C31" t="s">
        <v>39</v>
      </c>
      <c r="D31" s="4">
        <v>0</v>
      </c>
      <c r="E31" t="s">
        <v>39</v>
      </c>
      <c r="Q31" s="4"/>
    </row>
    <row r="32" spans="1:17" hidden="1" x14ac:dyDescent="0.25">
      <c r="A32">
        <v>1</v>
      </c>
      <c r="B32">
        <v>20</v>
      </c>
      <c r="C32" t="s">
        <v>39</v>
      </c>
      <c r="D32" s="4">
        <v>0</v>
      </c>
      <c r="E32" t="s">
        <v>39</v>
      </c>
      <c r="Q32" s="4"/>
    </row>
    <row r="33" spans="1:17" hidden="1" x14ac:dyDescent="0.25">
      <c r="A33">
        <v>1</v>
      </c>
      <c r="B33">
        <v>20</v>
      </c>
      <c r="C33" t="s">
        <v>39</v>
      </c>
      <c r="D33" s="4">
        <v>0</v>
      </c>
      <c r="E33" t="s">
        <v>39</v>
      </c>
      <c r="Q33" s="4"/>
    </row>
    <row r="34" spans="1:17" hidden="1" x14ac:dyDescent="0.25">
      <c r="A34">
        <v>1</v>
      </c>
      <c r="B34">
        <v>20</v>
      </c>
      <c r="C34" t="s">
        <v>39</v>
      </c>
      <c r="D34" s="4">
        <v>0</v>
      </c>
      <c r="E34" t="s">
        <v>39</v>
      </c>
      <c r="Q34" s="4"/>
    </row>
    <row r="35" spans="1:17" x14ac:dyDescent="0.25">
      <c r="A35">
        <v>1</v>
      </c>
      <c r="B35">
        <v>4</v>
      </c>
      <c r="C35" t="s">
        <v>9</v>
      </c>
      <c r="D35" s="5">
        <v>0</v>
      </c>
      <c r="E35" t="s">
        <v>10</v>
      </c>
      <c r="Q35" s="4"/>
    </row>
    <row r="36" spans="1:17" x14ac:dyDescent="0.25">
      <c r="A36">
        <v>1</v>
      </c>
      <c r="B36">
        <v>16</v>
      </c>
      <c r="C36" t="s">
        <v>26</v>
      </c>
      <c r="D36" s="5">
        <v>0</v>
      </c>
      <c r="E36" t="s">
        <v>2387</v>
      </c>
      <c r="Q36" s="4"/>
    </row>
    <row r="37" spans="1:17" x14ac:dyDescent="0.25">
      <c r="A37">
        <v>1</v>
      </c>
      <c r="B37">
        <v>13</v>
      </c>
      <c r="C37" t="s">
        <v>20</v>
      </c>
      <c r="D37" s="5">
        <v>0</v>
      </c>
      <c r="E37" t="s">
        <v>21</v>
      </c>
      <c r="Q37" s="4"/>
    </row>
    <row r="38" spans="1:17" x14ac:dyDescent="0.25">
      <c r="A38">
        <v>1</v>
      </c>
      <c r="B38">
        <v>4</v>
      </c>
      <c r="C38" t="s">
        <v>7</v>
      </c>
      <c r="D38" s="5">
        <v>0</v>
      </c>
      <c r="E38" t="s">
        <v>2388</v>
      </c>
      <c r="Q38" s="4"/>
    </row>
    <row r="39" spans="1:17" x14ac:dyDescent="0.25">
      <c r="A39">
        <v>1</v>
      </c>
      <c r="B39">
        <v>13</v>
      </c>
      <c r="C39" t="s">
        <v>22</v>
      </c>
      <c r="D39" s="5">
        <v>0</v>
      </c>
      <c r="E39" t="s">
        <v>2389</v>
      </c>
      <c r="Q39" s="4"/>
    </row>
    <row r="40" spans="1:17" x14ac:dyDescent="0.25">
      <c r="A40">
        <v>1</v>
      </c>
      <c r="B40">
        <v>7</v>
      </c>
      <c r="C40" t="s">
        <v>15</v>
      </c>
      <c r="D40" s="5">
        <v>60</v>
      </c>
      <c r="E40" t="s">
        <v>16</v>
      </c>
      <c r="Q40" s="4"/>
    </row>
    <row r="41" spans="1:17" x14ac:dyDescent="0.25">
      <c r="A41">
        <v>1</v>
      </c>
      <c r="B41">
        <v>1</v>
      </c>
      <c r="C41" t="s">
        <v>3</v>
      </c>
      <c r="D41" s="5">
        <v>0</v>
      </c>
      <c r="E41" t="s">
        <v>4</v>
      </c>
      <c r="Q41" s="4"/>
    </row>
    <row r="42" spans="1:17" x14ac:dyDescent="0.25">
      <c r="A42">
        <v>1</v>
      </c>
      <c r="B42">
        <v>16</v>
      </c>
      <c r="C42" t="s">
        <v>25</v>
      </c>
      <c r="D42" s="5">
        <v>0</v>
      </c>
      <c r="E42" t="s">
        <v>2390</v>
      </c>
      <c r="Q42" s="4"/>
    </row>
    <row r="43" spans="1:17" x14ac:dyDescent="0.25">
      <c r="A43">
        <v>1</v>
      </c>
      <c r="B43">
        <v>20</v>
      </c>
      <c r="C43" t="s">
        <v>33</v>
      </c>
      <c r="D43" s="5">
        <v>0</v>
      </c>
      <c r="E43" t="s">
        <v>34</v>
      </c>
      <c r="Q43" s="4"/>
    </row>
    <row r="44" spans="1:17" x14ac:dyDescent="0.25">
      <c r="A44">
        <v>1</v>
      </c>
      <c r="B44">
        <v>20</v>
      </c>
      <c r="C44" t="s">
        <v>31</v>
      </c>
      <c r="D44" s="5">
        <v>0</v>
      </c>
      <c r="E44" t="s">
        <v>32</v>
      </c>
      <c r="Q44" s="4"/>
    </row>
    <row r="45" spans="1:17" x14ac:dyDescent="0.25">
      <c r="A45">
        <v>1</v>
      </c>
      <c r="B45">
        <v>10</v>
      </c>
      <c r="C45" t="s">
        <v>19</v>
      </c>
      <c r="D45" s="5">
        <v>0</v>
      </c>
      <c r="E45" t="s">
        <v>2391</v>
      </c>
      <c r="Q45" s="4"/>
    </row>
    <row r="46" spans="1:17" x14ac:dyDescent="0.25">
      <c r="A46">
        <v>1</v>
      </c>
      <c r="B46">
        <v>20</v>
      </c>
      <c r="C46" t="s">
        <v>35</v>
      </c>
      <c r="D46" s="5">
        <v>0</v>
      </c>
      <c r="E46" t="s">
        <v>36</v>
      </c>
      <c r="Q46" s="4"/>
    </row>
    <row r="47" spans="1:17" x14ac:dyDescent="0.25">
      <c r="A47">
        <v>1</v>
      </c>
      <c r="B47">
        <v>16</v>
      </c>
      <c r="C47" t="s">
        <v>27</v>
      </c>
      <c r="D47" s="5">
        <v>45</v>
      </c>
      <c r="E47" t="s">
        <v>28</v>
      </c>
      <c r="Q47" s="4"/>
    </row>
    <row r="48" spans="1:17" x14ac:dyDescent="0.25">
      <c r="A48">
        <v>1</v>
      </c>
      <c r="B48">
        <v>20</v>
      </c>
      <c r="C48" t="s">
        <v>37</v>
      </c>
      <c r="D48" s="5">
        <v>45</v>
      </c>
      <c r="E48" t="s">
        <v>38</v>
      </c>
      <c r="Q48" s="4"/>
    </row>
    <row r="49" spans="1:17" x14ac:dyDescent="0.25">
      <c r="A49">
        <v>1</v>
      </c>
      <c r="B49">
        <v>7</v>
      </c>
      <c r="C49" t="s">
        <v>11</v>
      </c>
      <c r="D49" s="5">
        <v>0</v>
      </c>
      <c r="E49" t="s">
        <v>2392</v>
      </c>
      <c r="Q49" s="4"/>
    </row>
    <row r="50" spans="1:17" x14ac:dyDescent="0.25">
      <c r="A50">
        <v>1</v>
      </c>
      <c r="B50">
        <v>7</v>
      </c>
      <c r="C50" t="s">
        <v>14</v>
      </c>
      <c r="D50" s="5">
        <v>0</v>
      </c>
      <c r="E50" t="s">
        <v>2393</v>
      </c>
      <c r="Q50" s="4"/>
    </row>
    <row r="51" spans="1:17" x14ac:dyDescent="0.25">
      <c r="A51">
        <v>1</v>
      </c>
      <c r="B51">
        <v>1</v>
      </c>
      <c r="C51" t="s">
        <v>0</v>
      </c>
      <c r="D51" s="5">
        <v>0</v>
      </c>
      <c r="E51" t="s">
        <v>2394</v>
      </c>
      <c r="Q51" s="4"/>
    </row>
    <row r="52" spans="1:17" x14ac:dyDescent="0.25">
      <c r="A52">
        <v>1</v>
      </c>
      <c r="B52">
        <v>4</v>
      </c>
      <c r="C52" t="s">
        <v>5</v>
      </c>
      <c r="D52" s="5">
        <v>0</v>
      </c>
      <c r="E52" t="s">
        <v>6</v>
      </c>
      <c r="Q52" s="4"/>
    </row>
    <row r="53" spans="1:17" x14ac:dyDescent="0.25">
      <c r="A53">
        <v>1</v>
      </c>
      <c r="B53">
        <v>1</v>
      </c>
      <c r="C53" t="s">
        <v>2</v>
      </c>
      <c r="D53" s="5">
        <v>0</v>
      </c>
      <c r="E53" t="s">
        <v>2395</v>
      </c>
      <c r="Q53" s="4"/>
    </row>
    <row r="54" spans="1:17" x14ac:dyDescent="0.25">
      <c r="A54">
        <v>1</v>
      </c>
      <c r="B54">
        <v>13</v>
      </c>
      <c r="C54" t="s">
        <v>24</v>
      </c>
      <c r="D54" s="5">
        <v>0</v>
      </c>
      <c r="E54" t="s">
        <v>2396</v>
      </c>
      <c r="Q54" s="4"/>
    </row>
    <row r="55" spans="1:17" x14ac:dyDescent="0.25">
      <c r="A55">
        <v>1</v>
      </c>
      <c r="B55">
        <v>13</v>
      </c>
      <c r="C55" t="s">
        <v>23</v>
      </c>
      <c r="D55" s="5">
        <v>0</v>
      </c>
      <c r="E55" t="s">
        <v>2397</v>
      </c>
      <c r="Q55" s="4"/>
    </row>
    <row r="56" spans="1:17" x14ac:dyDescent="0.25">
      <c r="A56">
        <v>1</v>
      </c>
      <c r="B56">
        <v>1</v>
      </c>
      <c r="C56" t="s">
        <v>1</v>
      </c>
      <c r="D56" s="5">
        <v>0</v>
      </c>
      <c r="E56" t="s">
        <v>2398</v>
      </c>
      <c r="Q56" s="4"/>
    </row>
    <row r="57" spans="1:17" x14ac:dyDescent="0.25">
      <c r="A57">
        <v>1</v>
      </c>
      <c r="B57">
        <v>4</v>
      </c>
      <c r="C57" t="s">
        <v>8</v>
      </c>
      <c r="D57" s="5">
        <v>0</v>
      </c>
      <c r="E57" t="s">
        <v>2399</v>
      </c>
      <c r="Q57" s="4"/>
    </row>
    <row r="58" spans="1:17" x14ac:dyDescent="0.25">
      <c r="A58">
        <v>1</v>
      </c>
      <c r="B58">
        <v>10</v>
      </c>
      <c r="C58" t="s">
        <v>17</v>
      </c>
      <c r="D58" s="5">
        <v>0</v>
      </c>
      <c r="E58" t="s">
        <v>18</v>
      </c>
      <c r="Q58" s="4"/>
    </row>
    <row r="59" spans="1:17" x14ac:dyDescent="0.25">
      <c r="A59">
        <v>1</v>
      </c>
      <c r="B59">
        <v>7</v>
      </c>
      <c r="C59" t="s">
        <v>12</v>
      </c>
      <c r="D59" s="5">
        <v>0</v>
      </c>
      <c r="E59" t="s">
        <v>13</v>
      </c>
      <c r="Q59" s="4"/>
    </row>
    <row r="60" spans="1:17" x14ac:dyDescent="0.25">
      <c r="A60">
        <v>1</v>
      </c>
      <c r="B60">
        <v>16</v>
      </c>
      <c r="C60" t="s">
        <v>29</v>
      </c>
      <c r="D60" s="5">
        <v>0</v>
      </c>
      <c r="E60" t="s">
        <v>30</v>
      </c>
      <c r="Q60" s="4"/>
    </row>
    <row r="61" spans="1:17" x14ac:dyDescent="0.25">
      <c r="A61">
        <v>2</v>
      </c>
      <c r="B61">
        <v>1</v>
      </c>
      <c r="C61" t="s">
        <v>45</v>
      </c>
      <c r="D61" s="5">
        <v>0</v>
      </c>
      <c r="E61" t="s">
        <v>46</v>
      </c>
      <c r="Q61" s="4"/>
    </row>
    <row r="62" spans="1:17" hidden="1" x14ac:dyDescent="0.25">
      <c r="A62">
        <v>2</v>
      </c>
      <c r="B62">
        <v>1</v>
      </c>
      <c r="C62" t="s">
        <v>39</v>
      </c>
      <c r="D62" s="4">
        <v>0</v>
      </c>
      <c r="E62" t="s">
        <v>39</v>
      </c>
      <c r="Q62" s="4"/>
    </row>
    <row r="63" spans="1:17" x14ac:dyDescent="0.25">
      <c r="A63">
        <v>2</v>
      </c>
      <c r="B63">
        <v>1</v>
      </c>
      <c r="C63" t="s">
        <v>47</v>
      </c>
      <c r="D63" s="5">
        <v>0</v>
      </c>
      <c r="E63" t="s">
        <v>48</v>
      </c>
      <c r="Q63" s="4"/>
    </row>
    <row r="64" spans="1:17" hidden="1" x14ac:dyDescent="0.25">
      <c r="A64">
        <v>2</v>
      </c>
      <c r="B64">
        <v>1</v>
      </c>
      <c r="C64" t="s">
        <v>39</v>
      </c>
      <c r="D64" s="4">
        <v>0</v>
      </c>
      <c r="E64" t="s">
        <v>39</v>
      </c>
      <c r="Q64" s="4"/>
    </row>
    <row r="65" spans="1:17" x14ac:dyDescent="0.25">
      <c r="A65">
        <v>2</v>
      </c>
      <c r="B65">
        <v>1</v>
      </c>
      <c r="C65" t="s">
        <v>49</v>
      </c>
      <c r="D65" s="5">
        <v>0</v>
      </c>
      <c r="E65" t="s">
        <v>50</v>
      </c>
      <c r="Q65" s="4"/>
    </row>
    <row r="66" spans="1:17" hidden="1" x14ac:dyDescent="0.25">
      <c r="A66">
        <v>2</v>
      </c>
      <c r="B66">
        <v>1</v>
      </c>
      <c r="C66" t="s">
        <v>39</v>
      </c>
      <c r="D66" s="4">
        <v>0</v>
      </c>
      <c r="E66" t="s">
        <v>39</v>
      </c>
      <c r="Q66" s="4"/>
    </row>
    <row r="67" spans="1:17" x14ac:dyDescent="0.25">
      <c r="A67">
        <v>2</v>
      </c>
      <c r="B67">
        <v>1</v>
      </c>
      <c r="C67" t="s">
        <v>51</v>
      </c>
      <c r="D67" s="5">
        <v>0</v>
      </c>
      <c r="E67" t="s">
        <v>52</v>
      </c>
      <c r="Q67" s="4"/>
    </row>
    <row r="68" spans="1:17" hidden="1" x14ac:dyDescent="0.25">
      <c r="A68">
        <v>2</v>
      </c>
      <c r="B68">
        <v>1</v>
      </c>
      <c r="C68" t="s">
        <v>39</v>
      </c>
      <c r="D68" s="4">
        <v>0</v>
      </c>
      <c r="E68" t="s">
        <v>39</v>
      </c>
      <c r="Q68" s="4"/>
    </row>
    <row r="69" spans="1:17" hidden="1" x14ac:dyDescent="0.25">
      <c r="A69">
        <v>2</v>
      </c>
      <c r="B69">
        <v>4</v>
      </c>
      <c r="C69" t="s">
        <v>39</v>
      </c>
      <c r="D69" s="4">
        <v>0</v>
      </c>
      <c r="E69" t="s">
        <v>39</v>
      </c>
      <c r="Q69" s="4"/>
    </row>
    <row r="70" spans="1:17" x14ac:dyDescent="0.25">
      <c r="A70">
        <v>2</v>
      </c>
      <c r="B70">
        <v>4</v>
      </c>
      <c r="C70" t="s">
        <v>53</v>
      </c>
      <c r="D70" s="5">
        <v>0</v>
      </c>
      <c r="E70" t="s">
        <v>54</v>
      </c>
      <c r="Q70" s="4"/>
    </row>
    <row r="71" spans="1:17" hidden="1" x14ac:dyDescent="0.25">
      <c r="A71">
        <v>2</v>
      </c>
      <c r="B71">
        <v>4</v>
      </c>
      <c r="C71" t="s">
        <v>39</v>
      </c>
      <c r="D71" s="4">
        <v>0</v>
      </c>
      <c r="E71" t="s">
        <v>39</v>
      </c>
      <c r="Q71" s="4"/>
    </row>
    <row r="72" spans="1:17" x14ac:dyDescent="0.25">
      <c r="A72">
        <v>2</v>
      </c>
      <c r="B72">
        <v>4</v>
      </c>
      <c r="C72" t="s">
        <v>55</v>
      </c>
      <c r="D72" s="5">
        <v>0</v>
      </c>
      <c r="E72" t="s">
        <v>56</v>
      </c>
      <c r="Q72" s="4"/>
    </row>
    <row r="73" spans="1:17" hidden="1" x14ac:dyDescent="0.25">
      <c r="A73">
        <v>2</v>
      </c>
      <c r="B73">
        <v>4</v>
      </c>
      <c r="C73" t="s">
        <v>39</v>
      </c>
      <c r="D73" s="4">
        <v>0</v>
      </c>
      <c r="E73" t="s">
        <v>39</v>
      </c>
      <c r="Q73" s="4"/>
    </row>
    <row r="74" spans="1:17" x14ac:dyDescent="0.25">
      <c r="A74">
        <v>2</v>
      </c>
      <c r="B74">
        <v>4</v>
      </c>
      <c r="C74" t="s">
        <v>57</v>
      </c>
      <c r="D74" s="5">
        <v>0</v>
      </c>
      <c r="E74" t="s">
        <v>2400</v>
      </c>
    </row>
    <row r="75" spans="1:17" hidden="1" x14ac:dyDescent="0.25">
      <c r="A75">
        <v>2</v>
      </c>
      <c r="B75">
        <v>4</v>
      </c>
      <c r="C75" t="s">
        <v>39</v>
      </c>
      <c r="D75" s="4">
        <v>0</v>
      </c>
      <c r="E75" t="s">
        <v>39</v>
      </c>
    </row>
    <row r="76" spans="1:17" hidden="1" x14ac:dyDescent="0.25">
      <c r="A76">
        <v>2</v>
      </c>
      <c r="B76">
        <v>7</v>
      </c>
      <c r="C76" t="s">
        <v>39</v>
      </c>
      <c r="D76" s="4">
        <v>0</v>
      </c>
      <c r="E76" t="s">
        <v>39</v>
      </c>
    </row>
    <row r="77" spans="1:17" x14ac:dyDescent="0.25">
      <c r="A77">
        <v>2</v>
      </c>
      <c r="B77">
        <v>7</v>
      </c>
      <c r="C77" t="s">
        <v>58</v>
      </c>
      <c r="D77" s="5">
        <v>0</v>
      </c>
      <c r="E77" t="s">
        <v>2401</v>
      </c>
    </row>
    <row r="78" spans="1:17" hidden="1" x14ac:dyDescent="0.25">
      <c r="A78">
        <v>2</v>
      </c>
      <c r="B78">
        <v>7</v>
      </c>
      <c r="C78" t="s">
        <v>39</v>
      </c>
      <c r="D78" s="4">
        <v>0</v>
      </c>
      <c r="E78" t="s">
        <v>39</v>
      </c>
    </row>
    <row r="79" spans="1:17" x14ac:dyDescent="0.25">
      <c r="A79">
        <v>2</v>
      </c>
      <c r="B79">
        <v>7</v>
      </c>
      <c r="C79" t="s">
        <v>59</v>
      </c>
      <c r="D79" s="5">
        <v>0</v>
      </c>
      <c r="E79" t="s">
        <v>2402</v>
      </c>
    </row>
    <row r="80" spans="1:17" hidden="1" x14ac:dyDescent="0.25">
      <c r="A80">
        <v>2</v>
      </c>
      <c r="B80">
        <v>7</v>
      </c>
      <c r="C80" t="s">
        <v>39</v>
      </c>
      <c r="D80" s="4">
        <v>0</v>
      </c>
      <c r="E80" t="s">
        <v>39</v>
      </c>
    </row>
    <row r="81" spans="1:5" x14ac:dyDescent="0.25">
      <c r="A81">
        <v>2</v>
      </c>
      <c r="B81">
        <v>7</v>
      </c>
      <c r="C81" t="s">
        <v>60</v>
      </c>
      <c r="D81" s="5">
        <v>0</v>
      </c>
      <c r="E81" t="s">
        <v>61</v>
      </c>
    </row>
    <row r="82" spans="1:5" hidden="1" x14ac:dyDescent="0.25">
      <c r="A82">
        <v>2</v>
      </c>
      <c r="B82">
        <v>7</v>
      </c>
      <c r="C82" t="s">
        <v>39</v>
      </c>
      <c r="D82" s="4">
        <v>0</v>
      </c>
      <c r="E82" t="s">
        <v>39</v>
      </c>
    </row>
    <row r="83" spans="1:5" hidden="1" x14ac:dyDescent="0.25">
      <c r="A83">
        <v>2</v>
      </c>
      <c r="B83">
        <v>10</v>
      </c>
      <c r="C83" t="s">
        <v>39</v>
      </c>
      <c r="D83" s="4">
        <v>0</v>
      </c>
      <c r="E83" t="s">
        <v>39</v>
      </c>
    </row>
    <row r="84" spans="1:5" x14ac:dyDescent="0.25">
      <c r="A84">
        <v>2</v>
      </c>
      <c r="B84">
        <v>10</v>
      </c>
      <c r="C84" t="s">
        <v>62</v>
      </c>
      <c r="D84" s="5">
        <v>0</v>
      </c>
      <c r="E84" t="s">
        <v>63</v>
      </c>
    </row>
    <row r="85" spans="1:5" hidden="1" x14ac:dyDescent="0.25">
      <c r="A85">
        <v>2</v>
      </c>
      <c r="B85">
        <v>10</v>
      </c>
      <c r="C85" t="s">
        <v>39</v>
      </c>
      <c r="D85" s="4">
        <v>0</v>
      </c>
      <c r="E85" t="s">
        <v>39</v>
      </c>
    </row>
    <row r="86" spans="1:5" x14ac:dyDescent="0.25">
      <c r="A86">
        <v>2</v>
      </c>
      <c r="B86">
        <v>10</v>
      </c>
      <c r="C86" t="s">
        <v>64</v>
      </c>
      <c r="D86" s="5">
        <v>0</v>
      </c>
      <c r="E86" t="s">
        <v>65</v>
      </c>
    </row>
    <row r="87" spans="1:5" hidden="1" x14ac:dyDescent="0.25">
      <c r="A87">
        <v>2</v>
      </c>
      <c r="B87">
        <v>10</v>
      </c>
      <c r="C87" t="s">
        <v>39</v>
      </c>
      <c r="D87" s="4">
        <v>0</v>
      </c>
      <c r="E87" t="s">
        <v>39</v>
      </c>
    </row>
    <row r="88" spans="1:5" hidden="1" x14ac:dyDescent="0.25">
      <c r="A88">
        <v>2</v>
      </c>
      <c r="B88">
        <v>13</v>
      </c>
      <c r="C88" t="s">
        <v>39</v>
      </c>
      <c r="D88" s="4">
        <v>0</v>
      </c>
      <c r="E88" t="s">
        <v>39</v>
      </c>
    </row>
    <row r="89" spans="1:5" x14ac:dyDescent="0.25">
      <c r="A89">
        <v>2</v>
      </c>
      <c r="B89">
        <v>13</v>
      </c>
      <c r="C89" t="s">
        <v>66</v>
      </c>
      <c r="D89" s="5">
        <v>0</v>
      </c>
      <c r="E89" t="s">
        <v>67</v>
      </c>
    </row>
    <row r="90" spans="1:5" hidden="1" x14ac:dyDescent="0.25">
      <c r="A90">
        <v>2</v>
      </c>
      <c r="B90">
        <v>13</v>
      </c>
      <c r="C90" t="s">
        <v>39</v>
      </c>
      <c r="D90" s="4">
        <v>0</v>
      </c>
      <c r="E90" t="s">
        <v>39</v>
      </c>
    </row>
    <row r="91" spans="1:5" x14ac:dyDescent="0.25">
      <c r="A91">
        <v>2</v>
      </c>
      <c r="B91">
        <v>13</v>
      </c>
      <c r="C91" t="s">
        <v>68</v>
      </c>
      <c r="D91" s="5">
        <v>0</v>
      </c>
      <c r="E91" t="s">
        <v>69</v>
      </c>
    </row>
    <row r="92" spans="1:5" hidden="1" x14ac:dyDescent="0.25">
      <c r="A92">
        <v>2</v>
      </c>
      <c r="B92">
        <v>13</v>
      </c>
      <c r="C92" t="s">
        <v>39</v>
      </c>
      <c r="D92" s="4">
        <v>0</v>
      </c>
      <c r="E92" t="s">
        <v>39</v>
      </c>
    </row>
    <row r="93" spans="1:5" x14ac:dyDescent="0.25">
      <c r="A93">
        <v>2</v>
      </c>
      <c r="B93">
        <v>13</v>
      </c>
      <c r="C93" t="s">
        <v>70</v>
      </c>
      <c r="D93" s="5">
        <v>0</v>
      </c>
      <c r="E93" t="s">
        <v>2403</v>
      </c>
    </row>
    <row r="94" spans="1:5" hidden="1" x14ac:dyDescent="0.25">
      <c r="A94">
        <v>2</v>
      </c>
      <c r="B94">
        <v>13</v>
      </c>
      <c r="C94" t="s">
        <v>39</v>
      </c>
      <c r="D94" s="4">
        <v>0</v>
      </c>
      <c r="E94" t="s">
        <v>39</v>
      </c>
    </row>
    <row r="95" spans="1:5" hidden="1" x14ac:dyDescent="0.25">
      <c r="A95">
        <v>2</v>
      </c>
      <c r="B95">
        <v>16</v>
      </c>
      <c r="C95" t="s">
        <v>39</v>
      </c>
      <c r="D95" s="4">
        <v>0</v>
      </c>
      <c r="E95" t="s">
        <v>39</v>
      </c>
    </row>
    <row r="96" spans="1:5" x14ac:dyDescent="0.25">
      <c r="A96">
        <v>2</v>
      </c>
      <c r="B96">
        <v>16</v>
      </c>
      <c r="C96" t="s">
        <v>71</v>
      </c>
      <c r="D96" s="5">
        <v>0</v>
      </c>
      <c r="E96" t="s">
        <v>72</v>
      </c>
    </row>
    <row r="97" spans="1:5" hidden="1" x14ac:dyDescent="0.25">
      <c r="A97">
        <v>2</v>
      </c>
      <c r="B97">
        <v>16</v>
      </c>
      <c r="C97" t="s">
        <v>39</v>
      </c>
      <c r="D97" s="4">
        <v>0</v>
      </c>
      <c r="E97" t="s">
        <v>39</v>
      </c>
    </row>
    <row r="98" spans="1:5" x14ac:dyDescent="0.25">
      <c r="A98">
        <v>2</v>
      </c>
      <c r="B98">
        <v>16</v>
      </c>
      <c r="C98" t="s">
        <v>73</v>
      </c>
      <c r="D98" s="5">
        <v>0</v>
      </c>
      <c r="E98" t="s">
        <v>74</v>
      </c>
    </row>
    <row r="99" spans="1:5" hidden="1" x14ac:dyDescent="0.25">
      <c r="A99">
        <v>2</v>
      </c>
      <c r="B99">
        <v>16</v>
      </c>
      <c r="C99" t="s">
        <v>39</v>
      </c>
      <c r="D99" s="4">
        <v>0</v>
      </c>
      <c r="E99" t="s">
        <v>39</v>
      </c>
    </row>
    <row r="100" spans="1:5" x14ac:dyDescent="0.25">
      <c r="A100">
        <v>2</v>
      </c>
      <c r="B100">
        <v>16</v>
      </c>
      <c r="C100" t="s">
        <v>75</v>
      </c>
      <c r="D100" s="5">
        <v>0</v>
      </c>
      <c r="E100" t="s">
        <v>2404</v>
      </c>
    </row>
    <row r="101" spans="1:5" hidden="1" x14ac:dyDescent="0.25">
      <c r="A101">
        <v>2</v>
      </c>
      <c r="B101">
        <v>16</v>
      </c>
      <c r="C101" t="s">
        <v>39</v>
      </c>
      <c r="D101" s="4">
        <v>0</v>
      </c>
      <c r="E101" t="s">
        <v>39</v>
      </c>
    </row>
    <row r="102" spans="1:5" hidden="1" x14ac:dyDescent="0.25">
      <c r="A102">
        <v>2</v>
      </c>
      <c r="B102">
        <v>20</v>
      </c>
      <c r="C102" t="s">
        <v>39</v>
      </c>
      <c r="D102" s="4">
        <v>0</v>
      </c>
      <c r="E102" t="s">
        <v>39</v>
      </c>
    </row>
    <row r="103" spans="1:5" x14ac:dyDescent="0.25">
      <c r="A103">
        <v>2</v>
      </c>
      <c r="B103">
        <v>20</v>
      </c>
      <c r="C103" t="s">
        <v>76</v>
      </c>
      <c r="D103" s="5">
        <v>0</v>
      </c>
      <c r="E103" t="s">
        <v>2405</v>
      </c>
    </row>
    <row r="104" spans="1:5" hidden="1" x14ac:dyDescent="0.25">
      <c r="A104">
        <v>2</v>
      </c>
      <c r="B104">
        <v>20</v>
      </c>
      <c r="C104" t="s">
        <v>39</v>
      </c>
      <c r="D104" s="4">
        <v>0</v>
      </c>
      <c r="E104" t="s">
        <v>39</v>
      </c>
    </row>
    <row r="105" spans="1:5" x14ac:dyDescent="0.25">
      <c r="A105">
        <v>2</v>
      </c>
      <c r="B105">
        <v>20</v>
      </c>
      <c r="C105" t="s">
        <v>77</v>
      </c>
      <c r="D105" s="5">
        <v>0</v>
      </c>
      <c r="E105" t="s">
        <v>2406</v>
      </c>
    </row>
    <row r="106" spans="1:5" hidden="1" x14ac:dyDescent="0.25">
      <c r="A106">
        <v>2</v>
      </c>
      <c r="B106">
        <v>20</v>
      </c>
      <c r="C106" t="s">
        <v>39</v>
      </c>
      <c r="D106" s="4">
        <v>0</v>
      </c>
      <c r="E106" t="s">
        <v>39</v>
      </c>
    </row>
    <row r="107" spans="1:5" x14ac:dyDescent="0.25">
      <c r="A107">
        <v>2</v>
      </c>
      <c r="B107">
        <v>20</v>
      </c>
      <c r="C107" t="s">
        <v>78</v>
      </c>
      <c r="D107" s="5">
        <v>0</v>
      </c>
      <c r="E107" t="s">
        <v>79</v>
      </c>
    </row>
    <row r="108" spans="1:5" hidden="1" x14ac:dyDescent="0.25">
      <c r="A108">
        <v>2</v>
      </c>
      <c r="B108">
        <v>20</v>
      </c>
      <c r="C108" t="s">
        <v>39</v>
      </c>
      <c r="D108" s="4">
        <v>0</v>
      </c>
      <c r="E108" t="s">
        <v>39</v>
      </c>
    </row>
    <row r="109" spans="1:5" x14ac:dyDescent="0.25">
      <c r="A109">
        <v>2</v>
      </c>
      <c r="B109">
        <v>20</v>
      </c>
      <c r="C109" t="s">
        <v>80</v>
      </c>
      <c r="D109" s="5">
        <v>0</v>
      </c>
      <c r="E109" t="s">
        <v>81</v>
      </c>
    </row>
    <row r="110" spans="1:5" x14ac:dyDescent="0.25">
      <c r="A110">
        <v>3</v>
      </c>
      <c r="B110">
        <v>1</v>
      </c>
      <c r="C110" t="s">
        <v>82</v>
      </c>
      <c r="D110" s="5">
        <v>0</v>
      </c>
      <c r="E110" t="s">
        <v>83</v>
      </c>
    </row>
    <row r="111" spans="1:5" hidden="1" x14ac:dyDescent="0.25">
      <c r="A111">
        <v>3</v>
      </c>
      <c r="B111">
        <v>1</v>
      </c>
      <c r="C111" t="s">
        <v>39</v>
      </c>
      <c r="D111" s="4">
        <v>0</v>
      </c>
      <c r="E111" t="s">
        <v>39</v>
      </c>
    </row>
    <row r="112" spans="1:5" x14ac:dyDescent="0.25">
      <c r="A112">
        <v>3</v>
      </c>
      <c r="B112">
        <v>1</v>
      </c>
      <c r="C112" t="s">
        <v>84</v>
      </c>
      <c r="D112" s="5">
        <v>0</v>
      </c>
      <c r="E112" t="s">
        <v>85</v>
      </c>
    </row>
    <row r="113" spans="1:5" hidden="1" x14ac:dyDescent="0.25">
      <c r="A113">
        <v>3</v>
      </c>
      <c r="B113">
        <v>1</v>
      </c>
      <c r="C113" t="s">
        <v>39</v>
      </c>
      <c r="D113" s="4">
        <v>0</v>
      </c>
      <c r="E113" t="s">
        <v>39</v>
      </c>
    </row>
    <row r="114" spans="1:5" x14ac:dyDescent="0.25">
      <c r="A114">
        <v>3</v>
      </c>
      <c r="B114">
        <v>1</v>
      </c>
      <c r="C114" t="s">
        <v>86</v>
      </c>
      <c r="D114" s="5">
        <v>0</v>
      </c>
      <c r="E114" t="s">
        <v>87</v>
      </c>
    </row>
    <row r="115" spans="1:5" hidden="1" x14ac:dyDescent="0.25">
      <c r="A115">
        <v>3</v>
      </c>
      <c r="B115">
        <v>1</v>
      </c>
      <c r="C115" t="s">
        <v>39</v>
      </c>
      <c r="D115" s="4">
        <v>0</v>
      </c>
      <c r="E115" t="s">
        <v>39</v>
      </c>
    </row>
    <row r="116" spans="1:5" hidden="1" x14ac:dyDescent="0.25">
      <c r="A116">
        <v>3</v>
      </c>
      <c r="B116">
        <v>4</v>
      </c>
      <c r="C116" t="s">
        <v>39</v>
      </c>
      <c r="D116" s="4">
        <v>0</v>
      </c>
      <c r="E116" t="s">
        <v>39</v>
      </c>
    </row>
    <row r="117" spans="1:5" x14ac:dyDescent="0.25">
      <c r="A117">
        <v>3</v>
      </c>
      <c r="B117">
        <v>4</v>
      </c>
      <c r="C117" t="s">
        <v>88</v>
      </c>
      <c r="D117" s="5">
        <v>0</v>
      </c>
      <c r="E117" t="s">
        <v>89</v>
      </c>
    </row>
    <row r="118" spans="1:5" hidden="1" x14ac:dyDescent="0.25">
      <c r="A118">
        <v>3</v>
      </c>
      <c r="B118">
        <v>4</v>
      </c>
      <c r="C118" t="s">
        <v>39</v>
      </c>
      <c r="D118" s="4">
        <v>0</v>
      </c>
      <c r="E118" t="s">
        <v>39</v>
      </c>
    </row>
    <row r="119" spans="1:5" x14ac:dyDescent="0.25">
      <c r="A119">
        <v>3</v>
      </c>
      <c r="B119">
        <v>4</v>
      </c>
      <c r="C119" t="s">
        <v>90</v>
      </c>
      <c r="D119" s="5">
        <v>0</v>
      </c>
      <c r="E119" t="s">
        <v>2407</v>
      </c>
    </row>
    <row r="120" spans="1:5" hidden="1" x14ac:dyDescent="0.25">
      <c r="A120">
        <v>3</v>
      </c>
      <c r="B120">
        <v>4</v>
      </c>
      <c r="C120" t="s">
        <v>39</v>
      </c>
      <c r="D120" s="4">
        <v>0</v>
      </c>
      <c r="E120" t="s">
        <v>39</v>
      </c>
    </row>
    <row r="121" spans="1:5" x14ac:dyDescent="0.25">
      <c r="A121">
        <v>3</v>
      </c>
      <c r="B121">
        <v>4</v>
      </c>
      <c r="C121" t="s">
        <v>91</v>
      </c>
      <c r="D121" s="5">
        <v>0</v>
      </c>
      <c r="E121" t="s">
        <v>2408</v>
      </c>
    </row>
    <row r="122" spans="1:5" hidden="1" x14ac:dyDescent="0.25">
      <c r="A122">
        <v>3</v>
      </c>
      <c r="B122">
        <v>4</v>
      </c>
      <c r="C122" t="s">
        <v>39</v>
      </c>
      <c r="D122" s="4">
        <v>0</v>
      </c>
      <c r="E122" t="s">
        <v>39</v>
      </c>
    </row>
    <row r="123" spans="1:5" hidden="1" x14ac:dyDescent="0.25">
      <c r="A123">
        <v>3</v>
      </c>
      <c r="B123">
        <v>7</v>
      </c>
      <c r="C123" t="s">
        <v>39</v>
      </c>
      <c r="D123" s="4">
        <v>0</v>
      </c>
      <c r="E123" t="s">
        <v>39</v>
      </c>
    </row>
    <row r="124" spans="1:5" x14ac:dyDescent="0.25">
      <c r="A124">
        <v>3</v>
      </c>
      <c r="B124">
        <v>7</v>
      </c>
      <c r="C124" t="s">
        <v>92</v>
      </c>
      <c r="D124" s="5">
        <v>0</v>
      </c>
      <c r="E124" t="s">
        <v>93</v>
      </c>
    </row>
    <row r="125" spans="1:5" hidden="1" x14ac:dyDescent="0.25">
      <c r="A125">
        <v>3</v>
      </c>
      <c r="B125">
        <v>7</v>
      </c>
      <c r="C125" t="s">
        <v>39</v>
      </c>
      <c r="D125" s="4">
        <v>0</v>
      </c>
      <c r="E125" t="s">
        <v>39</v>
      </c>
    </row>
    <row r="126" spans="1:5" x14ac:dyDescent="0.25">
      <c r="A126">
        <v>3</v>
      </c>
      <c r="B126">
        <v>7</v>
      </c>
      <c r="C126" t="s">
        <v>94</v>
      </c>
      <c r="D126" s="5">
        <v>0</v>
      </c>
      <c r="E126" t="s">
        <v>2409</v>
      </c>
    </row>
    <row r="127" spans="1:5" hidden="1" x14ac:dyDescent="0.25">
      <c r="A127">
        <v>3</v>
      </c>
      <c r="B127">
        <v>7</v>
      </c>
      <c r="C127" t="s">
        <v>39</v>
      </c>
      <c r="D127" s="4">
        <v>0</v>
      </c>
      <c r="E127" t="s">
        <v>39</v>
      </c>
    </row>
    <row r="128" spans="1:5" x14ac:dyDescent="0.25">
      <c r="A128">
        <v>3</v>
      </c>
      <c r="B128">
        <v>7</v>
      </c>
      <c r="C128" t="s">
        <v>95</v>
      </c>
      <c r="D128" s="5">
        <v>0</v>
      </c>
      <c r="E128" t="s">
        <v>96</v>
      </c>
    </row>
    <row r="129" spans="1:5" hidden="1" x14ac:dyDescent="0.25">
      <c r="A129">
        <v>3</v>
      </c>
      <c r="B129">
        <v>7</v>
      </c>
      <c r="C129" t="s">
        <v>39</v>
      </c>
      <c r="D129" s="4">
        <v>0</v>
      </c>
      <c r="E129" t="s">
        <v>39</v>
      </c>
    </row>
    <row r="130" spans="1:5" x14ac:dyDescent="0.25">
      <c r="A130">
        <v>3</v>
      </c>
      <c r="B130">
        <v>7</v>
      </c>
      <c r="C130" t="s">
        <v>97</v>
      </c>
      <c r="D130" s="5">
        <v>0</v>
      </c>
      <c r="E130" t="s">
        <v>98</v>
      </c>
    </row>
    <row r="131" spans="1:5" hidden="1" x14ac:dyDescent="0.25">
      <c r="A131">
        <v>3</v>
      </c>
      <c r="B131">
        <v>7</v>
      </c>
      <c r="C131" t="s">
        <v>39</v>
      </c>
      <c r="D131" s="4">
        <v>0</v>
      </c>
      <c r="E131" t="s">
        <v>39</v>
      </c>
    </row>
    <row r="132" spans="1:5" hidden="1" x14ac:dyDescent="0.25">
      <c r="A132">
        <v>3</v>
      </c>
      <c r="B132">
        <v>10</v>
      </c>
      <c r="C132" t="s">
        <v>39</v>
      </c>
      <c r="D132" s="4">
        <v>0</v>
      </c>
      <c r="E132" t="s">
        <v>39</v>
      </c>
    </row>
    <row r="133" spans="1:5" x14ac:dyDescent="0.25">
      <c r="A133">
        <v>3</v>
      </c>
      <c r="B133">
        <v>10</v>
      </c>
      <c r="C133" t="s">
        <v>99</v>
      </c>
      <c r="D133" s="5">
        <v>0</v>
      </c>
      <c r="E133" t="s">
        <v>100</v>
      </c>
    </row>
    <row r="134" spans="1:5" hidden="1" x14ac:dyDescent="0.25">
      <c r="A134">
        <v>3</v>
      </c>
      <c r="B134">
        <v>10</v>
      </c>
      <c r="C134" t="s">
        <v>39</v>
      </c>
      <c r="D134" s="4">
        <v>0</v>
      </c>
      <c r="E134" t="s">
        <v>39</v>
      </c>
    </row>
    <row r="135" spans="1:5" x14ac:dyDescent="0.25">
      <c r="A135">
        <v>3</v>
      </c>
      <c r="B135">
        <v>10</v>
      </c>
      <c r="C135" t="s">
        <v>101</v>
      </c>
      <c r="D135" s="5">
        <v>0</v>
      </c>
      <c r="E135" t="s">
        <v>102</v>
      </c>
    </row>
    <row r="136" spans="1:5" hidden="1" x14ac:dyDescent="0.25">
      <c r="A136">
        <v>3</v>
      </c>
      <c r="B136">
        <v>10</v>
      </c>
      <c r="C136" t="s">
        <v>39</v>
      </c>
      <c r="D136" s="4">
        <v>0</v>
      </c>
      <c r="E136" t="s">
        <v>39</v>
      </c>
    </row>
    <row r="137" spans="1:5" hidden="1" x14ac:dyDescent="0.25">
      <c r="A137">
        <v>3</v>
      </c>
      <c r="B137">
        <v>13</v>
      </c>
      <c r="C137" t="s">
        <v>39</v>
      </c>
      <c r="D137" s="4">
        <v>0</v>
      </c>
      <c r="E137" t="s">
        <v>39</v>
      </c>
    </row>
    <row r="138" spans="1:5" x14ac:dyDescent="0.25">
      <c r="A138">
        <v>3</v>
      </c>
      <c r="B138">
        <v>13</v>
      </c>
      <c r="C138" t="s">
        <v>2410</v>
      </c>
      <c r="D138" s="5">
        <v>0</v>
      </c>
      <c r="E138" t="s">
        <v>103</v>
      </c>
    </row>
    <row r="139" spans="1:5" hidden="1" x14ac:dyDescent="0.25">
      <c r="A139">
        <v>3</v>
      </c>
      <c r="B139">
        <v>13</v>
      </c>
      <c r="C139" t="s">
        <v>39</v>
      </c>
      <c r="D139" s="4">
        <v>0</v>
      </c>
      <c r="E139" t="s">
        <v>39</v>
      </c>
    </row>
    <row r="140" spans="1:5" x14ac:dyDescent="0.25">
      <c r="A140">
        <v>3</v>
      </c>
      <c r="B140">
        <v>13</v>
      </c>
      <c r="C140" t="s">
        <v>104</v>
      </c>
      <c r="D140" s="5">
        <v>0</v>
      </c>
      <c r="E140" t="s">
        <v>2411</v>
      </c>
    </row>
    <row r="141" spans="1:5" hidden="1" x14ac:dyDescent="0.25">
      <c r="A141">
        <v>3</v>
      </c>
      <c r="B141">
        <v>13</v>
      </c>
      <c r="C141" t="s">
        <v>39</v>
      </c>
      <c r="D141" s="4">
        <v>0</v>
      </c>
      <c r="E141" t="s">
        <v>39</v>
      </c>
    </row>
    <row r="142" spans="1:5" x14ac:dyDescent="0.25">
      <c r="A142">
        <v>3</v>
      </c>
      <c r="B142">
        <v>13</v>
      </c>
      <c r="C142" t="s">
        <v>105</v>
      </c>
      <c r="D142" s="5">
        <v>0</v>
      </c>
      <c r="E142" t="s">
        <v>106</v>
      </c>
    </row>
    <row r="143" spans="1:5" hidden="1" x14ac:dyDescent="0.25">
      <c r="A143">
        <v>3</v>
      </c>
      <c r="B143">
        <v>13</v>
      </c>
      <c r="C143" t="s">
        <v>39</v>
      </c>
      <c r="D143" s="4">
        <v>0</v>
      </c>
      <c r="E143" t="s">
        <v>39</v>
      </c>
    </row>
    <row r="144" spans="1:5" x14ac:dyDescent="0.25">
      <c r="A144">
        <v>3</v>
      </c>
      <c r="B144">
        <v>13</v>
      </c>
      <c r="C144" t="s">
        <v>107</v>
      </c>
      <c r="D144" s="5">
        <v>0</v>
      </c>
      <c r="E144" t="s">
        <v>108</v>
      </c>
    </row>
    <row r="145" spans="1:5" hidden="1" x14ac:dyDescent="0.25">
      <c r="A145">
        <v>3</v>
      </c>
      <c r="B145">
        <v>13</v>
      </c>
      <c r="C145" t="s">
        <v>39</v>
      </c>
      <c r="D145" s="4">
        <v>0</v>
      </c>
      <c r="E145" t="s">
        <v>39</v>
      </c>
    </row>
    <row r="146" spans="1:5" hidden="1" x14ac:dyDescent="0.25">
      <c r="A146">
        <v>3</v>
      </c>
      <c r="B146">
        <v>16</v>
      </c>
      <c r="C146" t="s">
        <v>39</v>
      </c>
      <c r="D146" s="4">
        <v>0</v>
      </c>
      <c r="E146" t="s">
        <v>39</v>
      </c>
    </row>
    <row r="147" spans="1:5" x14ac:dyDescent="0.25">
      <c r="A147">
        <v>3</v>
      </c>
      <c r="B147">
        <v>16</v>
      </c>
      <c r="C147" t="s">
        <v>109</v>
      </c>
      <c r="D147" s="5">
        <v>0</v>
      </c>
      <c r="E147" t="s">
        <v>2412</v>
      </c>
    </row>
    <row r="148" spans="1:5" hidden="1" x14ac:dyDescent="0.25">
      <c r="A148">
        <v>3</v>
      </c>
      <c r="B148">
        <v>16</v>
      </c>
      <c r="C148" t="s">
        <v>39</v>
      </c>
      <c r="D148" s="4">
        <v>0</v>
      </c>
      <c r="E148" t="s">
        <v>39</v>
      </c>
    </row>
    <row r="149" spans="1:5" x14ac:dyDescent="0.25">
      <c r="A149">
        <v>3</v>
      </c>
      <c r="B149">
        <v>16</v>
      </c>
      <c r="C149" t="s">
        <v>110</v>
      </c>
      <c r="D149" s="5">
        <v>0</v>
      </c>
      <c r="E149" t="s">
        <v>2413</v>
      </c>
    </row>
    <row r="150" spans="1:5" hidden="1" x14ac:dyDescent="0.25">
      <c r="A150">
        <v>3</v>
      </c>
      <c r="B150">
        <v>16</v>
      </c>
      <c r="C150" t="s">
        <v>39</v>
      </c>
      <c r="D150" s="4">
        <v>0</v>
      </c>
      <c r="E150" t="s">
        <v>39</v>
      </c>
    </row>
    <row r="151" spans="1:5" x14ac:dyDescent="0.25">
      <c r="A151">
        <v>3</v>
      </c>
      <c r="B151">
        <v>16</v>
      </c>
      <c r="C151" t="s">
        <v>111</v>
      </c>
      <c r="D151" s="5">
        <v>0</v>
      </c>
      <c r="E151" t="s">
        <v>112</v>
      </c>
    </row>
    <row r="152" spans="1:5" hidden="1" x14ac:dyDescent="0.25">
      <c r="A152">
        <v>3</v>
      </c>
      <c r="B152">
        <v>16</v>
      </c>
      <c r="C152" t="s">
        <v>39</v>
      </c>
      <c r="D152" s="4">
        <v>0</v>
      </c>
      <c r="E152" t="s">
        <v>39</v>
      </c>
    </row>
    <row r="153" spans="1:5" x14ac:dyDescent="0.25">
      <c r="A153">
        <v>3</v>
      </c>
      <c r="B153">
        <v>16</v>
      </c>
      <c r="C153" t="s">
        <v>113</v>
      </c>
      <c r="D153" s="5">
        <v>0</v>
      </c>
      <c r="E153" t="s">
        <v>114</v>
      </c>
    </row>
    <row r="154" spans="1:5" hidden="1" x14ac:dyDescent="0.25">
      <c r="A154">
        <v>3</v>
      </c>
      <c r="B154">
        <v>16</v>
      </c>
      <c r="C154" t="s">
        <v>39</v>
      </c>
      <c r="D154" s="4">
        <v>0</v>
      </c>
      <c r="E154" t="s">
        <v>39</v>
      </c>
    </row>
    <row r="155" spans="1:5" hidden="1" x14ac:dyDescent="0.25">
      <c r="A155">
        <v>3</v>
      </c>
      <c r="B155">
        <v>20</v>
      </c>
      <c r="C155" t="s">
        <v>39</v>
      </c>
      <c r="D155" s="4">
        <v>0</v>
      </c>
      <c r="E155" t="s">
        <v>39</v>
      </c>
    </row>
    <row r="156" spans="1:5" x14ac:dyDescent="0.25">
      <c r="A156">
        <v>3</v>
      </c>
      <c r="B156">
        <v>20</v>
      </c>
      <c r="C156" t="s">
        <v>115</v>
      </c>
      <c r="D156" s="5">
        <v>0</v>
      </c>
      <c r="E156" t="s">
        <v>116</v>
      </c>
    </row>
    <row r="157" spans="1:5" hidden="1" x14ac:dyDescent="0.25">
      <c r="A157">
        <v>3</v>
      </c>
      <c r="B157">
        <v>20</v>
      </c>
      <c r="C157" t="s">
        <v>39</v>
      </c>
      <c r="D157" s="4">
        <v>0</v>
      </c>
      <c r="E157" t="s">
        <v>39</v>
      </c>
    </row>
    <row r="158" spans="1:5" x14ac:dyDescent="0.25">
      <c r="A158">
        <v>3</v>
      </c>
      <c r="B158">
        <v>20</v>
      </c>
      <c r="C158" t="s">
        <v>117</v>
      </c>
      <c r="D158" s="5">
        <v>0</v>
      </c>
      <c r="E158" t="s">
        <v>118</v>
      </c>
    </row>
    <row r="159" spans="1:5" hidden="1" x14ac:dyDescent="0.25">
      <c r="A159">
        <v>3</v>
      </c>
      <c r="B159">
        <v>20</v>
      </c>
      <c r="C159" t="s">
        <v>39</v>
      </c>
      <c r="D159" s="4">
        <v>0</v>
      </c>
      <c r="E159" t="s">
        <v>39</v>
      </c>
    </row>
    <row r="160" spans="1:5" x14ac:dyDescent="0.25">
      <c r="A160">
        <v>3</v>
      </c>
      <c r="B160">
        <v>20</v>
      </c>
      <c r="C160" t="s">
        <v>119</v>
      </c>
      <c r="D160" s="5">
        <v>0</v>
      </c>
      <c r="E160" t="s">
        <v>2414</v>
      </c>
    </row>
    <row r="161" spans="1:5" hidden="1" x14ac:dyDescent="0.25">
      <c r="A161">
        <v>3</v>
      </c>
      <c r="B161">
        <v>20</v>
      </c>
      <c r="C161" t="s">
        <v>39</v>
      </c>
      <c r="D161" s="4">
        <v>0</v>
      </c>
      <c r="E161" t="s">
        <v>39</v>
      </c>
    </row>
    <row r="162" spans="1:5" x14ac:dyDescent="0.25">
      <c r="A162">
        <v>3</v>
      </c>
      <c r="B162">
        <v>20</v>
      </c>
      <c r="C162" t="s">
        <v>120</v>
      </c>
      <c r="D162" s="5">
        <v>0</v>
      </c>
      <c r="E162" t="s">
        <v>121</v>
      </c>
    </row>
    <row r="163" spans="1:5" x14ac:dyDescent="0.25">
      <c r="A163">
        <v>4</v>
      </c>
      <c r="B163">
        <v>1</v>
      </c>
      <c r="C163" t="s">
        <v>122</v>
      </c>
      <c r="D163" s="5">
        <v>0</v>
      </c>
      <c r="E163" t="s">
        <v>123</v>
      </c>
    </row>
    <row r="164" spans="1:5" hidden="1" x14ac:dyDescent="0.25">
      <c r="A164">
        <v>4</v>
      </c>
      <c r="B164">
        <v>1</v>
      </c>
      <c r="C164" t="s">
        <v>39</v>
      </c>
      <c r="D164" s="4">
        <v>0</v>
      </c>
      <c r="E164" t="s">
        <v>39</v>
      </c>
    </row>
    <row r="165" spans="1:5" x14ac:dyDescent="0.25">
      <c r="A165">
        <v>4</v>
      </c>
      <c r="B165">
        <v>1</v>
      </c>
      <c r="C165" t="s">
        <v>124</v>
      </c>
      <c r="D165" s="5">
        <v>0</v>
      </c>
      <c r="E165" t="s">
        <v>125</v>
      </c>
    </row>
    <row r="166" spans="1:5" hidden="1" x14ac:dyDescent="0.25">
      <c r="A166">
        <v>4</v>
      </c>
      <c r="B166">
        <v>1</v>
      </c>
      <c r="C166" t="s">
        <v>39</v>
      </c>
      <c r="D166" s="4">
        <v>0</v>
      </c>
      <c r="E166" t="s">
        <v>39</v>
      </c>
    </row>
    <row r="167" spans="1:5" x14ac:dyDescent="0.25">
      <c r="A167">
        <v>4</v>
      </c>
      <c r="B167">
        <v>1</v>
      </c>
      <c r="C167" t="s">
        <v>126</v>
      </c>
      <c r="D167" s="5">
        <v>0</v>
      </c>
      <c r="E167" t="s">
        <v>2415</v>
      </c>
    </row>
    <row r="168" spans="1:5" hidden="1" x14ac:dyDescent="0.25">
      <c r="A168">
        <v>4</v>
      </c>
      <c r="B168">
        <v>1</v>
      </c>
      <c r="C168" t="s">
        <v>39</v>
      </c>
      <c r="D168" s="4">
        <v>0</v>
      </c>
      <c r="E168" t="s">
        <v>39</v>
      </c>
    </row>
    <row r="169" spans="1:5" hidden="1" x14ac:dyDescent="0.25">
      <c r="A169">
        <v>4</v>
      </c>
      <c r="B169">
        <v>4</v>
      </c>
      <c r="C169" t="s">
        <v>39</v>
      </c>
      <c r="D169" s="4">
        <v>0</v>
      </c>
      <c r="E169" t="s">
        <v>39</v>
      </c>
    </row>
    <row r="170" spans="1:5" x14ac:dyDescent="0.25">
      <c r="A170">
        <v>4</v>
      </c>
      <c r="B170">
        <v>4</v>
      </c>
      <c r="C170" t="s">
        <v>127</v>
      </c>
      <c r="D170" s="5">
        <v>0</v>
      </c>
      <c r="E170" t="s">
        <v>128</v>
      </c>
    </row>
    <row r="171" spans="1:5" hidden="1" x14ac:dyDescent="0.25">
      <c r="A171">
        <v>4</v>
      </c>
      <c r="B171">
        <v>4</v>
      </c>
      <c r="C171" t="s">
        <v>39</v>
      </c>
      <c r="D171" s="4">
        <v>0</v>
      </c>
      <c r="E171" t="s">
        <v>39</v>
      </c>
    </row>
    <row r="172" spans="1:5" x14ac:dyDescent="0.25">
      <c r="A172">
        <v>4</v>
      </c>
      <c r="B172">
        <v>4</v>
      </c>
      <c r="C172" t="s">
        <v>129</v>
      </c>
      <c r="D172" s="5">
        <v>0</v>
      </c>
      <c r="E172" t="s">
        <v>2416</v>
      </c>
    </row>
    <row r="173" spans="1:5" hidden="1" x14ac:dyDescent="0.25">
      <c r="A173">
        <v>4</v>
      </c>
      <c r="B173">
        <v>4</v>
      </c>
      <c r="C173" t="s">
        <v>39</v>
      </c>
      <c r="D173" s="4">
        <v>0</v>
      </c>
      <c r="E173" t="s">
        <v>39</v>
      </c>
    </row>
    <row r="174" spans="1:5" x14ac:dyDescent="0.25">
      <c r="A174">
        <v>4</v>
      </c>
      <c r="B174">
        <v>4</v>
      </c>
      <c r="C174" t="s">
        <v>130</v>
      </c>
      <c r="D174" s="5">
        <v>0</v>
      </c>
      <c r="E174" t="s">
        <v>131</v>
      </c>
    </row>
    <row r="175" spans="1:5" hidden="1" x14ac:dyDescent="0.25">
      <c r="A175">
        <v>4</v>
      </c>
      <c r="B175">
        <v>4</v>
      </c>
      <c r="C175" t="s">
        <v>39</v>
      </c>
      <c r="D175" s="4">
        <v>0</v>
      </c>
      <c r="E175" t="s">
        <v>39</v>
      </c>
    </row>
    <row r="176" spans="1:5" hidden="1" x14ac:dyDescent="0.25">
      <c r="A176">
        <v>4</v>
      </c>
      <c r="B176">
        <v>7</v>
      </c>
      <c r="C176" t="s">
        <v>39</v>
      </c>
      <c r="D176" s="4">
        <v>0</v>
      </c>
      <c r="E176" t="s">
        <v>39</v>
      </c>
    </row>
    <row r="177" spans="1:5" x14ac:dyDescent="0.25">
      <c r="A177">
        <v>4</v>
      </c>
      <c r="B177">
        <v>7</v>
      </c>
      <c r="C177" t="s">
        <v>132</v>
      </c>
      <c r="D177" s="5">
        <v>0</v>
      </c>
      <c r="E177" t="s">
        <v>133</v>
      </c>
    </row>
    <row r="178" spans="1:5" hidden="1" x14ac:dyDescent="0.25">
      <c r="A178">
        <v>4</v>
      </c>
      <c r="B178">
        <v>7</v>
      </c>
      <c r="C178" t="s">
        <v>39</v>
      </c>
      <c r="D178" s="4">
        <v>0</v>
      </c>
      <c r="E178" t="s">
        <v>39</v>
      </c>
    </row>
    <row r="179" spans="1:5" x14ac:dyDescent="0.25">
      <c r="A179">
        <v>4</v>
      </c>
      <c r="B179">
        <v>7</v>
      </c>
      <c r="C179" t="s">
        <v>134</v>
      </c>
      <c r="D179" s="5">
        <v>0</v>
      </c>
      <c r="E179" t="s">
        <v>135</v>
      </c>
    </row>
    <row r="180" spans="1:5" hidden="1" x14ac:dyDescent="0.25">
      <c r="A180">
        <v>4</v>
      </c>
      <c r="B180">
        <v>7</v>
      </c>
      <c r="C180" t="s">
        <v>39</v>
      </c>
      <c r="D180" s="4">
        <v>0</v>
      </c>
      <c r="E180" t="s">
        <v>39</v>
      </c>
    </row>
    <row r="181" spans="1:5" x14ac:dyDescent="0.25">
      <c r="A181">
        <v>4</v>
      </c>
      <c r="B181">
        <v>7</v>
      </c>
      <c r="C181" t="s">
        <v>136</v>
      </c>
      <c r="D181" s="5">
        <v>0</v>
      </c>
      <c r="E181" t="s">
        <v>137</v>
      </c>
    </row>
    <row r="182" spans="1:5" hidden="1" x14ac:dyDescent="0.25">
      <c r="A182">
        <v>4</v>
      </c>
      <c r="B182">
        <v>7</v>
      </c>
      <c r="C182" t="s">
        <v>39</v>
      </c>
      <c r="D182" s="4">
        <v>0</v>
      </c>
      <c r="E182" t="s">
        <v>39</v>
      </c>
    </row>
    <row r="183" spans="1:5" hidden="1" x14ac:dyDescent="0.25">
      <c r="A183">
        <v>4</v>
      </c>
      <c r="B183">
        <v>10</v>
      </c>
      <c r="C183" t="s">
        <v>39</v>
      </c>
      <c r="D183" s="4">
        <v>0</v>
      </c>
      <c r="E183" t="s">
        <v>39</v>
      </c>
    </row>
    <row r="184" spans="1:5" x14ac:dyDescent="0.25">
      <c r="A184">
        <v>4</v>
      </c>
      <c r="B184">
        <v>10</v>
      </c>
      <c r="C184" t="s">
        <v>138</v>
      </c>
      <c r="D184" s="5">
        <v>0</v>
      </c>
      <c r="E184" t="s">
        <v>139</v>
      </c>
    </row>
    <row r="185" spans="1:5" hidden="1" x14ac:dyDescent="0.25">
      <c r="A185">
        <v>4</v>
      </c>
      <c r="B185">
        <v>10</v>
      </c>
      <c r="C185" t="s">
        <v>39</v>
      </c>
      <c r="D185" s="4">
        <v>0</v>
      </c>
      <c r="E185" t="s">
        <v>39</v>
      </c>
    </row>
    <row r="186" spans="1:5" x14ac:dyDescent="0.25">
      <c r="A186">
        <v>4</v>
      </c>
      <c r="B186">
        <v>10</v>
      </c>
      <c r="C186" t="s">
        <v>140</v>
      </c>
      <c r="D186" s="5">
        <v>0</v>
      </c>
      <c r="E186" t="s">
        <v>141</v>
      </c>
    </row>
    <row r="187" spans="1:5" hidden="1" x14ac:dyDescent="0.25">
      <c r="A187">
        <v>4</v>
      </c>
      <c r="B187">
        <v>10</v>
      </c>
      <c r="C187" t="s">
        <v>39</v>
      </c>
      <c r="D187" s="4">
        <v>0</v>
      </c>
      <c r="E187" t="s">
        <v>39</v>
      </c>
    </row>
    <row r="188" spans="1:5" hidden="1" x14ac:dyDescent="0.25">
      <c r="A188">
        <v>4</v>
      </c>
      <c r="B188">
        <v>13</v>
      </c>
      <c r="C188" t="s">
        <v>39</v>
      </c>
      <c r="D188" s="4">
        <v>0</v>
      </c>
      <c r="E188" t="s">
        <v>39</v>
      </c>
    </row>
    <row r="189" spans="1:5" x14ac:dyDescent="0.25">
      <c r="A189">
        <v>4</v>
      </c>
      <c r="B189">
        <v>13</v>
      </c>
      <c r="C189" t="s">
        <v>142</v>
      </c>
      <c r="D189" s="5">
        <v>0</v>
      </c>
      <c r="E189" t="s">
        <v>2417</v>
      </c>
    </row>
    <row r="190" spans="1:5" hidden="1" x14ac:dyDescent="0.25">
      <c r="A190">
        <v>4</v>
      </c>
      <c r="B190">
        <v>13</v>
      </c>
      <c r="C190" t="s">
        <v>39</v>
      </c>
      <c r="D190" s="4">
        <v>0</v>
      </c>
      <c r="E190" t="s">
        <v>39</v>
      </c>
    </row>
    <row r="191" spans="1:5" x14ac:dyDescent="0.25">
      <c r="A191">
        <v>4</v>
      </c>
      <c r="B191">
        <v>13</v>
      </c>
      <c r="C191" t="s">
        <v>143</v>
      </c>
      <c r="D191" s="5">
        <v>0</v>
      </c>
      <c r="E191" t="s">
        <v>2418</v>
      </c>
    </row>
    <row r="192" spans="1:5" hidden="1" x14ac:dyDescent="0.25">
      <c r="A192">
        <v>4</v>
      </c>
      <c r="B192">
        <v>13</v>
      </c>
      <c r="C192" t="s">
        <v>39</v>
      </c>
      <c r="D192" s="4">
        <v>0</v>
      </c>
      <c r="E192" t="s">
        <v>39</v>
      </c>
    </row>
    <row r="193" spans="1:5" x14ac:dyDescent="0.25">
      <c r="A193">
        <v>4</v>
      </c>
      <c r="B193">
        <v>13</v>
      </c>
      <c r="C193" t="s">
        <v>144</v>
      </c>
      <c r="D193" s="5">
        <v>0</v>
      </c>
      <c r="E193" t="s">
        <v>145</v>
      </c>
    </row>
    <row r="194" spans="1:5" hidden="1" x14ac:dyDescent="0.25">
      <c r="A194">
        <v>4</v>
      </c>
      <c r="B194">
        <v>13</v>
      </c>
      <c r="C194" t="s">
        <v>39</v>
      </c>
      <c r="D194" s="4">
        <v>0</v>
      </c>
      <c r="E194" t="s">
        <v>39</v>
      </c>
    </row>
    <row r="195" spans="1:5" hidden="1" x14ac:dyDescent="0.25">
      <c r="A195">
        <v>4</v>
      </c>
      <c r="B195">
        <v>16</v>
      </c>
      <c r="C195" t="s">
        <v>39</v>
      </c>
      <c r="D195" s="4">
        <v>0</v>
      </c>
      <c r="E195" t="s">
        <v>39</v>
      </c>
    </row>
    <row r="196" spans="1:5" x14ac:dyDescent="0.25">
      <c r="A196">
        <v>4</v>
      </c>
      <c r="B196">
        <v>16</v>
      </c>
      <c r="C196" t="s">
        <v>146</v>
      </c>
      <c r="D196" s="5">
        <v>0</v>
      </c>
      <c r="E196" t="s">
        <v>147</v>
      </c>
    </row>
    <row r="197" spans="1:5" hidden="1" x14ac:dyDescent="0.25">
      <c r="A197">
        <v>4</v>
      </c>
      <c r="B197">
        <v>16</v>
      </c>
      <c r="C197" t="s">
        <v>39</v>
      </c>
      <c r="D197" s="4">
        <v>0</v>
      </c>
      <c r="E197" t="s">
        <v>39</v>
      </c>
    </row>
    <row r="198" spans="1:5" x14ac:dyDescent="0.25">
      <c r="A198">
        <v>4</v>
      </c>
      <c r="B198">
        <v>16</v>
      </c>
      <c r="C198" t="s">
        <v>148</v>
      </c>
      <c r="D198" s="5">
        <v>0</v>
      </c>
      <c r="E198" t="s">
        <v>149</v>
      </c>
    </row>
    <row r="199" spans="1:5" hidden="1" x14ac:dyDescent="0.25">
      <c r="A199">
        <v>4</v>
      </c>
      <c r="B199">
        <v>16</v>
      </c>
      <c r="C199" t="s">
        <v>39</v>
      </c>
      <c r="D199" s="4">
        <v>0</v>
      </c>
      <c r="E199" t="s">
        <v>39</v>
      </c>
    </row>
    <row r="200" spans="1:5" x14ac:dyDescent="0.25">
      <c r="A200">
        <v>4</v>
      </c>
      <c r="B200">
        <v>16</v>
      </c>
      <c r="C200" t="s">
        <v>150</v>
      </c>
      <c r="D200" s="5">
        <v>0</v>
      </c>
      <c r="E200" t="s">
        <v>151</v>
      </c>
    </row>
    <row r="201" spans="1:5" hidden="1" x14ac:dyDescent="0.25">
      <c r="A201">
        <v>4</v>
      </c>
      <c r="B201">
        <v>16</v>
      </c>
      <c r="C201" t="s">
        <v>39</v>
      </c>
      <c r="D201" s="4">
        <v>0</v>
      </c>
      <c r="E201" t="s">
        <v>39</v>
      </c>
    </row>
    <row r="202" spans="1:5" hidden="1" x14ac:dyDescent="0.25">
      <c r="A202">
        <v>4</v>
      </c>
      <c r="B202">
        <v>20</v>
      </c>
      <c r="C202" t="s">
        <v>39</v>
      </c>
      <c r="D202" s="4">
        <v>0</v>
      </c>
      <c r="E202" t="s">
        <v>39</v>
      </c>
    </row>
    <row r="203" spans="1:5" x14ac:dyDescent="0.25">
      <c r="A203">
        <v>4</v>
      </c>
      <c r="B203">
        <v>20</v>
      </c>
      <c r="C203" t="s">
        <v>152</v>
      </c>
      <c r="D203" s="5">
        <v>0</v>
      </c>
      <c r="E203" t="s">
        <v>153</v>
      </c>
    </row>
    <row r="204" spans="1:5" hidden="1" x14ac:dyDescent="0.25">
      <c r="A204">
        <v>4</v>
      </c>
      <c r="B204">
        <v>20</v>
      </c>
      <c r="C204" t="s">
        <v>39</v>
      </c>
      <c r="D204" s="4">
        <v>0</v>
      </c>
      <c r="E204" t="s">
        <v>39</v>
      </c>
    </row>
    <row r="205" spans="1:5" x14ac:dyDescent="0.25">
      <c r="A205">
        <v>4</v>
      </c>
      <c r="B205">
        <v>20</v>
      </c>
      <c r="C205" t="s">
        <v>154</v>
      </c>
      <c r="D205" s="5">
        <v>0</v>
      </c>
      <c r="E205" t="s">
        <v>155</v>
      </c>
    </row>
    <row r="206" spans="1:5" hidden="1" x14ac:dyDescent="0.25">
      <c r="A206">
        <v>4</v>
      </c>
      <c r="B206">
        <v>20</v>
      </c>
      <c r="C206" t="s">
        <v>39</v>
      </c>
      <c r="D206" s="4">
        <v>0</v>
      </c>
      <c r="E206" t="s">
        <v>39</v>
      </c>
    </row>
    <row r="207" spans="1:5" x14ac:dyDescent="0.25">
      <c r="A207">
        <v>4</v>
      </c>
      <c r="B207">
        <v>20</v>
      </c>
      <c r="C207" t="s">
        <v>2419</v>
      </c>
      <c r="D207" s="5">
        <v>0</v>
      </c>
      <c r="E207" t="s">
        <v>156</v>
      </c>
    </row>
    <row r="208" spans="1:5" hidden="1" x14ac:dyDescent="0.25">
      <c r="A208">
        <v>4</v>
      </c>
      <c r="B208">
        <v>20</v>
      </c>
      <c r="C208" t="s">
        <v>39</v>
      </c>
      <c r="D208" s="4">
        <v>0</v>
      </c>
      <c r="E208" t="s">
        <v>39</v>
      </c>
    </row>
    <row r="209" spans="1:5" x14ac:dyDescent="0.25">
      <c r="A209">
        <v>4</v>
      </c>
      <c r="B209">
        <v>20</v>
      </c>
      <c r="C209" t="s">
        <v>157</v>
      </c>
      <c r="D209" s="5">
        <v>0</v>
      </c>
      <c r="E209" t="s">
        <v>158</v>
      </c>
    </row>
    <row r="210" spans="1:5" hidden="1" x14ac:dyDescent="0.25">
      <c r="A210">
        <v>5</v>
      </c>
      <c r="B210">
        <v>1</v>
      </c>
      <c r="C210" t="s">
        <v>39</v>
      </c>
      <c r="D210" s="4">
        <v>0</v>
      </c>
      <c r="E210" t="s">
        <v>39</v>
      </c>
    </row>
    <row r="211" spans="1:5" x14ac:dyDescent="0.25">
      <c r="A211">
        <v>5</v>
      </c>
      <c r="B211">
        <v>1</v>
      </c>
      <c r="C211" t="s">
        <v>159</v>
      </c>
      <c r="D211" s="5">
        <v>0</v>
      </c>
      <c r="E211" t="s">
        <v>196</v>
      </c>
    </row>
    <row r="212" spans="1:5" hidden="1" x14ac:dyDescent="0.25">
      <c r="A212">
        <v>5</v>
      </c>
      <c r="B212">
        <v>1</v>
      </c>
      <c r="C212" t="s">
        <v>39</v>
      </c>
      <c r="D212" s="4">
        <v>0</v>
      </c>
      <c r="E212" t="s">
        <v>39</v>
      </c>
    </row>
    <row r="213" spans="1:5" x14ac:dyDescent="0.25">
      <c r="A213">
        <v>5</v>
      </c>
      <c r="B213">
        <v>1</v>
      </c>
      <c r="C213" t="s">
        <v>160</v>
      </c>
      <c r="D213" s="5">
        <v>0</v>
      </c>
      <c r="E213" t="s">
        <v>197</v>
      </c>
    </row>
    <row r="214" spans="1:5" hidden="1" x14ac:dyDescent="0.25">
      <c r="A214">
        <v>5</v>
      </c>
      <c r="B214">
        <v>1</v>
      </c>
      <c r="C214" t="s">
        <v>39</v>
      </c>
      <c r="D214" s="4">
        <v>0</v>
      </c>
      <c r="E214" t="s">
        <v>39</v>
      </c>
    </row>
    <row r="215" spans="1:5" x14ac:dyDescent="0.25">
      <c r="A215">
        <v>5</v>
      </c>
      <c r="B215">
        <v>1</v>
      </c>
      <c r="C215" t="s">
        <v>161</v>
      </c>
      <c r="D215" s="5">
        <v>0</v>
      </c>
      <c r="E215" t="s">
        <v>162</v>
      </c>
    </row>
    <row r="216" spans="1:5" hidden="1" x14ac:dyDescent="0.25">
      <c r="A216">
        <v>5</v>
      </c>
      <c r="B216">
        <v>1</v>
      </c>
      <c r="C216" t="s">
        <v>39</v>
      </c>
      <c r="D216" s="4">
        <v>0</v>
      </c>
      <c r="E216" t="s">
        <v>39</v>
      </c>
    </row>
    <row r="217" spans="1:5" hidden="1" x14ac:dyDescent="0.25">
      <c r="A217">
        <v>5</v>
      </c>
      <c r="B217">
        <v>4</v>
      </c>
      <c r="C217" t="s">
        <v>39</v>
      </c>
      <c r="D217" s="4">
        <v>0</v>
      </c>
      <c r="E217" t="s">
        <v>39</v>
      </c>
    </row>
    <row r="218" spans="1:5" x14ac:dyDescent="0.25">
      <c r="A218">
        <v>5</v>
      </c>
      <c r="B218">
        <v>4</v>
      </c>
      <c r="C218" t="s">
        <v>163</v>
      </c>
      <c r="D218" s="5">
        <v>0</v>
      </c>
      <c r="E218" t="s">
        <v>164</v>
      </c>
    </row>
    <row r="219" spans="1:5" hidden="1" x14ac:dyDescent="0.25">
      <c r="A219">
        <v>5</v>
      </c>
      <c r="B219">
        <v>4</v>
      </c>
      <c r="C219" t="s">
        <v>39</v>
      </c>
      <c r="D219" s="4">
        <v>0</v>
      </c>
      <c r="E219" t="s">
        <v>39</v>
      </c>
    </row>
    <row r="220" spans="1:5" x14ac:dyDescent="0.25">
      <c r="A220">
        <v>5</v>
      </c>
      <c r="B220">
        <v>4</v>
      </c>
      <c r="C220" t="s">
        <v>165</v>
      </c>
      <c r="D220" s="5">
        <v>0</v>
      </c>
      <c r="E220" t="s">
        <v>2420</v>
      </c>
    </row>
    <row r="221" spans="1:5" hidden="1" x14ac:dyDescent="0.25">
      <c r="A221">
        <v>5</v>
      </c>
      <c r="B221">
        <v>4</v>
      </c>
      <c r="C221" t="s">
        <v>39</v>
      </c>
      <c r="D221" s="4">
        <v>0</v>
      </c>
      <c r="E221" t="s">
        <v>39</v>
      </c>
    </row>
    <row r="222" spans="1:5" x14ac:dyDescent="0.25">
      <c r="A222">
        <v>5</v>
      </c>
      <c r="B222">
        <v>4</v>
      </c>
      <c r="C222" t="s">
        <v>166</v>
      </c>
      <c r="D222" s="5">
        <v>0</v>
      </c>
      <c r="E222" t="s">
        <v>167</v>
      </c>
    </row>
    <row r="223" spans="1:5" hidden="1" x14ac:dyDescent="0.25">
      <c r="A223">
        <v>5</v>
      </c>
      <c r="B223">
        <v>4</v>
      </c>
      <c r="C223" t="s">
        <v>39</v>
      </c>
      <c r="D223" s="4">
        <v>0</v>
      </c>
      <c r="E223" t="s">
        <v>39</v>
      </c>
    </row>
    <row r="224" spans="1:5" x14ac:dyDescent="0.25">
      <c r="A224">
        <v>5</v>
      </c>
      <c r="B224">
        <v>4</v>
      </c>
      <c r="C224" t="s">
        <v>2421</v>
      </c>
      <c r="D224" s="5">
        <v>100</v>
      </c>
      <c r="E224" t="s">
        <v>168</v>
      </c>
    </row>
    <row r="225" spans="1:5" hidden="1" x14ac:dyDescent="0.25">
      <c r="A225">
        <v>5</v>
      </c>
      <c r="B225">
        <v>4</v>
      </c>
      <c r="C225" t="s">
        <v>39</v>
      </c>
      <c r="D225" s="4">
        <v>0</v>
      </c>
      <c r="E225" t="s">
        <v>39</v>
      </c>
    </row>
    <row r="226" spans="1:5" hidden="1" x14ac:dyDescent="0.25">
      <c r="A226">
        <v>5</v>
      </c>
      <c r="B226">
        <v>4</v>
      </c>
      <c r="C226" t="s">
        <v>39</v>
      </c>
      <c r="D226" s="4">
        <v>0</v>
      </c>
      <c r="E226" t="s">
        <v>39</v>
      </c>
    </row>
    <row r="227" spans="1:5" hidden="1" x14ac:dyDescent="0.25">
      <c r="A227">
        <v>5</v>
      </c>
      <c r="B227">
        <v>7</v>
      </c>
      <c r="C227" t="s">
        <v>39</v>
      </c>
      <c r="D227" s="4">
        <v>0</v>
      </c>
      <c r="E227" t="s">
        <v>39</v>
      </c>
    </row>
    <row r="228" spans="1:5" x14ac:dyDescent="0.25">
      <c r="A228">
        <v>5</v>
      </c>
      <c r="B228">
        <v>7</v>
      </c>
      <c r="C228" t="s">
        <v>169</v>
      </c>
      <c r="D228" s="5">
        <v>0</v>
      </c>
      <c r="E228" t="s">
        <v>2422</v>
      </c>
    </row>
    <row r="229" spans="1:5" hidden="1" x14ac:dyDescent="0.25">
      <c r="A229">
        <v>5</v>
      </c>
      <c r="B229">
        <v>7</v>
      </c>
      <c r="C229" t="s">
        <v>39</v>
      </c>
      <c r="D229" s="4">
        <v>0</v>
      </c>
      <c r="E229" t="s">
        <v>39</v>
      </c>
    </row>
    <row r="230" spans="1:5" x14ac:dyDescent="0.25">
      <c r="A230">
        <v>5</v>
      </c>
      <c r="B230">
        <v>7</v>
      </c>
      <c r="C230" t="s">
        <v>170</v>
      </c>
      <c r="D230" s="5">
        <v>0</v>
      </c>
      <c r="E230" t="s">
        <v>171</v>
      </c>
    </row>
    <row r="231" spans="1:5" hidden="1" x14ac:dyDescent="0.25">
      <c r="A231">
        <v>5</v>
      </c>
      <c r="B231">
        <v>7</v>
      </c>
      <c r="C231" t="s">
        <v>39</v>
      </c>
      <c r="D231" s="4">
        <v>0</v>
      </c>
      <c r="E231" t="s">
        <v>39</v>
      </c>
    </row>
    <row r="232" spans="1:5" x14ac:dyDescent="0.25">
      <c r="A232">
        <v>5</v>
      </c>
      <c r="B232">
        <v>7</v>
      </c>
      <c r="C232" t="s">
        <v>172</v>
      </c>
      <c r="D232" s="5">
        <v>0</v>
      </c>
      <c r="E232" t="s">
        <v>173</v>
      </c>
    </row>
    <row r="233" spans="1:5" hidden="1" x14ac:dyDescent="0.25">
      <c r="A233">
        <v>5</v>
      </c>
      <c r="B233">
        <v>7</v>
      </c>
      <c r="C233" t="s">
        <v>39</v>
      </c>
      <c r="D233" s="4">
        <v>0</v>
      </c>
      <c r="E233" t="s">
        <v>39</v>
      </c>
    </row>
    <row r="234" spans="1:5" x14ac:dyDescent="0.25">
      <c r="A234">
        <v>5</v>
      </c>
      <c r="B234">
        <v>7</v>
      </c>
      <c r="C234" t="s">
        <v>174</v>
      </c>
      <c r="D234" s="5">
        <v>0</v>
      </c>
      <c r="E234" t="s">
        <v>2423</v>
      </c>
    </row>
    <row r="235" spans="1:5" hidden="1" x14ac:dyDescent="0.25">
      <c r="A235">
        <v>5</v>
      </c>
      <c r="B235">
        <v>7</v>
      </c>
      <c r="C235" t="s">
        <v>39</v>
      </c>
      <c r="D235" s="4">
        <v>0</v>
      </c>
      <c r="E235" t="s">
        <v>39</v>
      </c>
    </row>
    <row r="236" spans="1:5" hidden="1" x14ac:dyDescent="0.25">
      <c r="A236">
        <v>5</v>
      </c>
      <c r="B236">
        <v>10</v>
      </c>
      <c r="C236" t="s">
        <v>39</v>
      </c>
      <c r="D236" s="4">
        <v>0</v>
      </c>
      <c r="E236" t="s">
        <v>39</v>
      </c>
    </row>
    <row r="237" spans="1:5" x14ac:dyDescent="0.25">
      <c r="A237">
        <v>5</v>
      </c>
      <c r="B237">
        <v>10</v>
      </c>
      <c r="C237" t="s">
        <v>175</v>
      </c>
      <c r="D237" s="5">
        <v>100</v>
      </c>
      <c r="E237" t="s">
        <v>176</v>
      </c>
    </row>
    <row r="238" spans="1:5" hidden="1" x14ac:dyDescent="0.25">
      <c r="A238">
        <v>5</v>
      </c>
      <c r="B238">
        <v>10</v>
      </c>
      <c r="C238" t="s">
        <v>39</v>
      </c>
      <c r="D238" s="4">
        <v>0</v>
      </c>
      <c r="E238" t="s">
        <v>39</v>
      </c>
    </row>
    <row r="239" spans="1:5" hidden="1" x14ac:dyDescent="0.25">
      <c r="A239">
        <v>5</v>
      </c>
      <c r="B239">
        <v>10</v>
      </c>
      <c r="C239" t="s">
        <v>39</v>
      </c>
      <c r="D239" s="4">
        <v>0</v>
      </c>
      <c r="E239" t="s">
        <v>39</v>
      </c>
    </row>
    <row r="240" spans="1:5" x14ac:dyDescent="0.25">
      <c r="A240">
        <v>5</v>
      </c>
      <c r="B240">
        <v>10</v>
      </c>
      <c r="C240" t="s">
        <v>177</v>
      </c>
      <c r="D240" s="5">
        <v>60</v>
      </c>
      <c r="E240" t="s">
        <v>178</v>
      </c>
    </row>
    <row r="241" spans="1:5" hidden="1" x14ac:dyDescent="0.25">
      <c r="A241">
        <v>5</v>
      </c>
      <c r="B241">
        <v>10</v>
      </c>
      <c r="C241" t="s">
        <v>39</v>
      </c>
      <c r="D241" s="4">
        <v>0</v>
      </c>
      <c r="E241" t="s">
        <v>39</v>
      </c>
    </row>
    <row r="242" spans="1:5" hidden="1" x14ac:dyDescent="0.25">
      <c r="A242">
        <v>5</v>
      </c>
      <c r="B242">
        <v>10</v>
      </c>
      <c r="C242" t="s">
        <v>39</v>
      </c>
      <c r="D242" s="4">
        <v>0</v>
      </c>
      <c r="E242" t="s">
        <v>39</v>
      </c>
    </row>
    <row r="243" spans="1:5" hidden="1" x14ac:dyDescent="0.25">
      <c r="A243">
        <v>5</v>
      </c>
      <c r="B243">
        <v>13</v>
      </c>
      <c r="C243" t="s">
        <v>39</v>
      </c>
      <c r="D243" s="4">
        <v>0</v>
      </c>
      <c r="E243" t="s">
        <v>39</v>
      </c>
    </row>
    <row r="244" spans="1:5" x14ac:dyDescent="0.25">
      <c r="A244">
        <v>5</v>
      </c>
      <c r="B244">
        <v>13</v>
      </c>
      <c r="C244" t="s">
        <v>179</v>
      </c>
      <c r="D244" s="5">
        <v>0</v>
      </c>
      <c r="E244" t="s">
        <v>180</v>
      </c>
    </row>
    <row r="245" spans="1:5" hidden="1" x14ac:dyDescent="0.25">
      <c r="A245">
        <v>5</v>
      </c>
      <c r="B245">
        <v>13</v>
      </c>
      <c r="C245" t="s">
        <v>39</v>
      </c>
      <c r="D245" s="4">
        <v>0</v>
      </c>
      <c r="E245" t="s">
        <v>39</v>
      </c>
    </row>
    <row r="246" spans="1:5" x14ac:dyDescent="0.25">
      <c r="A246">
        <v>5</v>
      </c>
      <c r="B246">
        <v>13</v>
      </c>
      <c r="C246" t="s">
        <v>181</v>
      </c>
      <c r="D246" s="5">
        <v>0</v>
      </c>
      <c r="E246" t="s">
        <v>2424</v>
      </c>
    </row>
    <row r="247" spans="1:5" hidden="1" x14ac:dyDescent="0.25">
      <c r="A247">
        <v>5</v>
      </c>
      <c r="B247">
        <v>13</v>
      </c>
      <c r="C247" t="s">
        <v>39</v>
      </c>
      <c r="D247" s="4">
        <v>0</v>
      </c>
      <c r="E247" t="s">
        <v>39</v>
      </c>
    </row>
    <row r="248" spans="1:5" x14ac:dyDescent="0.25">
      <c r="A248">
        <v>5</v>
      </c>
      <c r="B248">
        <v>13</v>
      </c>
      <c r="C248" t="s">
        <v>182</v>
      </c>
      <c r="D248" s="5">
        <v>0</v>
      </c>
      <c r="E248" t="s">
        <v>183</v>
      </c>
    </row>
    <row r="249" spans="1:5" hidden="1" x14ac:dyDescent="0.25">
      <c r="A249">
        <v>5</v>
      </c>
      <c r="B249">
        <v>13</v>
      </c>
      <c r="C249" t="s">
        <v>39</v>
      </c>
      <c r="D249" s="4">
        <v>0</v>
      </c>
      <c r="E249" t="s">
        <v>39</v>
      </c>
    </row>
    <row r="250" spans="1:5" hidden="1" x14ac:dyDescent="0.25">
      <c r="A250">
        <v>5</v>
      </c>
      <c r="B250">
        <v>16</v>
      </c>
      <c r="C250" t="s">
        <v>39</v>
      </c>
      <c r="D250" s="4">
        <v>0</v>
      </c>
      <c r="E250" t="s">
        <v>39</v>
      </c>
    </row>
    <row r="251" spans="1:5" x14ac:dyDescent="0.25">
      <c r="A251">
        <v>5</v>
      </c>
      <c r="B251">
        <v>16</v>
      </c>
      <c r="C251" t="s">
        <v>184</v>
      </c>
      <c r="D251" s="5">
        <v>0</v>
      </c>
      <c r="E251" t="s">
        <v>185</v>
      </c>
    </row>
    <row r="252" spans="1:5" hidden="1" x14ac:dyDescent="0.25">
      <c r="A252">
        <v>5</v>
      </c>
      <c r="B252">
        <v>16</v>
      </c>
      <c r="C252" t="s">
        <v>39</v>
      </c>
      <c r="D252" s="4">
        <v>0</v>
      </c>
      <c r="E252" t="s">
        <v>39</v>
      </c>
    </row>
    <row r="253" spans="1:5" x14ac:dyDescent="0.25">
      <c r="A253">
        <v>5</v>
      </c>
      <c r="B253">
        <v>16</v>
      </c>
      <c r="C253" t="s">
        <v>186</v>
      </c>
      <c r="D253" s="5">
        <v>0</v>
      </c>
      <c r="E253" t="s">
        <v>187</v>
      </c>
    </row>
    <row r="254" spans="1:5" hidden="1" x14ac:dyDescent="0.25">
      <c r="A254">
        <v>5</v>
      </c>
      <c r="B254">
        <v>16</v>
      </c>
      <c r="C254" t="s">
        <v>39</v>
      </c>
      <c r="D254" s="4">
        <v>0</v>
      </c>
      <c r="E254" t="s">
        <v>39</v>
      </c>
    </row>
    <row r="255" spans="1:5" x14ac:dyDescent="0.25">
      <c r="A255">
        <v>5</v>
      </c>
      <c r="B255">
        <v>16</v>
      </c>
      <c r="C255" t="s">
        <v>188</v>
      </c>
      <c r="D255" s="5">
        <v>0</v>
      </c>
      <c r="E255" t="s">
        <v>2425</v>
      </c>
    </row>
    <row r="256" spans="1:5" hidden="1" x14ac:dyDescent="0.25">
      <c r="A256">
        <v>5</v>
      </c>
      <c r="B256">
        <v>16</v>
      </c>
      <c r="C256" t="s">
        <v>39</v>
      </c>
      <c r="D256" s="4">
        <v>0</v>
      </c>
      <c r="E256" t="s">
        <v>39</v>
      </c>
    </row>
    <row r="257" spans="1:5" hidden="1" x14ac:dyDescent="0.25">
      <c r="A257">
        <v>5</v>
      </c>
      <c r="B257">
        <v>20</v>
      </c>
      <c r="C257" t="s">
        <v>39</v>
      </c>
      <c r="D257" s="4">
        <v>0</v>
      </c>
      <c r="E257" t="s">
        <v>39</v>
      </c>
    </row>
    <row r="258" spans="1:5" x14ac:dyDescent="0.25">
      <c r="A258">
        <v>5</v>
      </c>
      <c r="B258">
        <v>20</v>
      </c>
      <c r="C258" t="s">
        <v>189</v>
      </c>
      <c r="D258" s="5">
        <v>0</v>
      </c>
      <c r="E258" t="s">
        <v>190</v>
      </c>
    </row>
    <row r="259" spans="1:5" hidden="1" x14ac:dyDescent="0.25">
      <c r="A259">
        <v>5</v>
      </c>
      <c r="B259">
        <v>20</v>
      </c>
      <c r="C259" t="s">
        <v>39</v>
      </c>
      <c r="D259" s="4">
        <v>0</v>
      </c>
      <c r="E259" t="s">
        <v>39</v>
      </c>
    </row>
    <row r="260" spans="1:5" x14ac:dyDescent="0.25">
      <c r="A260">
        <v>5</v>
      </c>
      <c r="B260">
        <v>20</v>
      </c>
      <c r="C260" t="s">
        <v>191</v>
      </c>
      <c r="D260" s="5">
        <v>0</v>
      </c>
      <c r="E260" t="s">
        <v>192</v>
      </c>
    </row>
    <row r="261" spans="1:5" hidden="1" x14ac:dyDescent="0.25">
      <c r="A261">
        <v>5</v>
      </c>
      <c r="B261">
        <v>20</v>
      </c>
      <c r="C261" t="s">
        <v>39</v>
      </c>
      <c r="D261" s="4">
        <v>0</v>
      </c>
      <c r="E261" t="s">
        <v>39</v>
      </c>
    </row>
    <row r="262" spans="1:5" x14ac:dyDescent="0.25">
      <c r="A262">
        <v>5</v>
      </c>
      <c r="B262">
        <v>20</v>
      </c>
      <c r="C262" t="s">
        <v>193</v>
      </c>
      <c r="D262" s="5">
        <v>70</v>
      </c>
      <c r="E262" t="s">
        <v>194</v>
      </c>
    </row>
    <row r="263" spans="1:5" hidden="1" x14ac:dyDescent="0.25">
      <c r="A263">
        <v>5</v>
      </c>
      <c r="B263">
        <v>20</v>
      </c>
      <c r="C263" t="s">
        <v>39</v>
      </c>
      <c r="D263" s="4">
        <v>0</v>
      </c>
      <c r="E263" t="s">
        <v>39</v>
      </c>
    </row>
    <row r="264" spans="1:5" hidden="1" x14ac:dyDescent="0.25">
      <c r="A264">
        <v>5</v>
      </c>
      <c r="B264">
        <v>20</v>
      </c>
      <c r="C264" t="s">
        <v>39</v>
      </c>
      <c r="D264" s="4">
        <v>0</v>
      </c>
      <c r="E264" t="s">
        <v>39</v>
      </c>
    </row>
    <row r="265" spans="1:5" x14ac:dyDescent="0.25">
      <c r="A265">
        <v>5</v>
      </c>
      <c r="B265">
        <v>20</v>
      </c>
      <c r="C265" t="s">
        <v>195</v>
      </c>
      <c r="D265" s="5">
        <v>0</v>
      </c>
      <c r="E265" t="s">
        <v>2426</v>
      </c>
    </row>
    <row r="266" spans="1:5" x14ac:dyDescent="0.25">
      <c r="A266">
        <v>6</v>
      </c>
      <c r="B266">
        <v>1</v>
      </c>
      <c r="C266" t="s">
        <v>198</v>
      </c>
      <c r="D266" s="5">
        <v>0</v>
      </c>
      <c r="E266" t="s">
        <v>199</v>
      </c>
    </row>
    <row r="267" spans="1:5" hidden="1" x14ac:dyDescent="0.25">
      <c r="A267">
        <v>6</v>
      </c>
      <c r="B267">
        <v>1</v>
      </c>
      <c r="C267" t="s">
        <v>39</v>
      </c>
      <c r="D267" s="4">
        <v>0</v>
      </c>
      <c r="E267" t="s">
        <v>39</v>
      </c>
    </row>
    <row r="268" spans="1:5" x14ac:dyDescent="0.25">
      <c r="A268">
        <v>6</v>
      </c>
      <c r="B268">
        <v>1</v>
      </c>
      <c r="C268" t="s">
        <v>200</v>
      </c>
      <c r="D268" s="5">
        <v>0</v>
      </c>
      <c r="E268" t="s">
        <v>2427</v>
      </c>
    </row>
    <row r="269" spans="1:5" hidden="1" x14ac:dyDescent="0.25">
      <c r="A269">
        <v>6</v>
      </c>
      <c r="B269">
        <v>1</v>
      </c>
      <c r="C269" t="s">
        <v>39</v>
      </c>
      <c r="D269" s="4">
        <v>0</v>
      </c>
      <c r="E269" t="s">
        <v>39</v>
      </c>
    </row>
    <row r="270" spans="1:5" x14ac:dyDescent="0.25">
      <c r="A270">
        <v>6</v>
      </c>
      <c r="B270">
        <v>1</v>
      </c>
      <c r="C270" t="s">
        <v>201</v>
      </c>
      <c r="D270" s="5">
        <v>0</v>
      </c>
      <c r="E270" t="s">
        <v>202</v>
      </c>
    </row>
    <row r="271" spans="1:5" hidden="1" x14ac:dyDescent="0.25">
      <c r="A271">
        <v>6</v>
      </c>
      <c r="B271">
        <v>1</v>
      </c>
      <c r="C271" t="s">
        <v>39</v>
      </c>
      <c r="D271" s="4">
        <v>0</v>
      </c>
      <c r="E271" t="s">
        <v>39</v>
      </c>
    </row>
    <row r="272" spans="1:5" x14ac:dyDescent="0.25">
      <c r="A272">
        <v>6</v>
      </c>
      <c r="B272">
        <v>1</v>
      </c>
      <c r="C272" t="s">
        <v>203</v>
      </c>
      <c r="D272" s="5">
        <v>0</v>
      </c>
      <c r="E272" t="s">
        <v>204</v>
      </c>
    </row>
    <row r="273" spans="1:5" hidden="1" x14ac:dyDescent="0.25">
      <c r="A273">
        <v>6</v>
      </c>
      <c r="B273">
        <v>1</v>
      </c>
      <c r="C273" t="s">
        <v>39</v>
      </c>
      <c r="D273" s="4">
        <v>0</v>
      </c>
      <c r="E273" t="s">
        <v>39</v>
      </c>
    </row>
    <row r="274" spans="1:5" hidden="1" x14ac:dyDescent="0.25">
      <c r="A274">
        <v>6</v>
      </c>
      <c r="B274">
        <v>4</v>
      </c>
      <c r="C274" t="s">
        <v>39</v>
      </c>
      <c r="D274" s="4">
        <v>0</v>
      </c>
      <c r="E274" t="s">
        <v>39</v>
      </c>
    </row>
    <row r="275" spans="1:5" x14ac:dyDescent="0.25">
      <c r="A275">
        <v>6</v>
      </c>
      <c r="B275">
        <v>4</v>
      </c>
      <c r="C275" t="s">
        <v>205</v>
      </c>
      <c r="D275" s="5">
        <v>0</v>
      </c>
      <c r="E275" t="s">
        <v>206</v>
      </c>
    </row>
    <row r="276" spans="1:5" hidden="1" x14ac:dyDescent="0.25">
      <c r="A276">
        <v>6</v>
      </c>
      <c r="B276">
        <v>4</v>
      </c>
      <c r="C276" t="s">
        <v>39</v>
      </c>
      <c r="D276" s="4">
        <v>0</v>
      </c>
      <c r="E276" t="s">
        <v>39</v>
      </c>
    </row>
    <row r="277" spans="1:5" x14ac:dyDescent="0.25">
      <c r="A277">
        <v>6</v>
      </c>
      <c r="B277">
        <v>4</v>
      </c>
      <c r="C277" t="s">
        <v>207</v>
      </c>
      <c r="D277" s="5">
        <v>0</v>
      </c>
      <c r="E277" t="s">
        <v>208</v>
      </c>
    </row>
    <row r="278" spans="1:5" hidden="1" x14ac:dyDescent="0.25">
      <c r="A278">
        <v>6</v>
      </c>
      <c r="B278">
        <v>4</v>
      </c>
      <c r="C278" t="s">
        <v>39</v>
      </c>
      <c r="D278" s="4">
        <v>0</v>
      </c>
      <c r="E278" t="s">
        <v>39</v>
      </c>
    </row>
    <row r="279" spans="1:5" x14ac:dyDescent="0.25">
      <c r="A279">
        <v>6</v>
      </c>
      <c r="B279">
        <v>4</v>
      </c>
      <c r="C279" t="s">
        <v>209</v>
      </c>
      <c r="D279" s="5">
        <v>0</v>
      </c>
      <c r="E279" t="s">
        <v>210</v>
      </c>
    </row>
    <row r="280" spans="1:5" hidden="1" x14ac:dyDescent="0.25">
      <c r="A280">
        <v>6</v>
      </c>
      <c r="B280">
        <v>4</v>
      </c>
      <c r="C280" t="s">
        <v>39</v>
      </c>
      <c r="D280" s="4">
        <v>0</v>
      </c>
      <c r="E280" t="s">
        <v>39</v>
      </c>
    </row>
    <row r="281" spans="1:5" x14ac:dyDescent="0.25">
      <c r="A281">
        <v>6</v>
      </c>
      <c r="B281">
        <v>4</v>
      </c>
      <c r="C281" t="s">
        <v>211</v>
      </c>
      <c r="D281" s="5">
        <v>0</v>
      </c>
      <c r="E281" t="s">
        <v>212</v>
      </c>
    </row>
    <row r="282" spans="1:5" hidden="1" x14ac:dyDescent="0.25">
      <c r="A282">
        <v>6</v>
      </c>
      <c r="B282">
        <v>4</v>
      </c>
      <c r="C282" t="s">
        <v>39</v>
      </c>
      <c r="D282" s="4">
        <v>0</v>
      </c>
      <c r="E282" t="s">
        <v>39</v>
      </c>
    </row>
    <row r="283" spans="1:5" hidden="1" x14ac:dyDescent="0.25">
      <c r="A283">
        <v>6</v>
      </c>
      <c r="B283">
        <v>7</v>
      </c>
      <c r="C283" t="s">
        <v>39</v>
      </c>
      <c r="D283" s="4">
        <v>0</v>
      </c>
      <c r="E283" t="s">
        <v>39</v>
      </c>
    </row>
    <row r="284" spans="1:5" x14ac:dyDescent="0.25">
      <c r="A284">
        <v>6</v>
      </c>
      <c r="B284">
        <v>7</v>
      </c>
      <c r="C284" t="s">
        <v>213</v>
      </c>
      <c r="D284" s="5">
        <v>0</v>
      </c>
      <c r="E284" t="s">
        <v>214</v>
      </c>
    </row>
    <row r="285" spans="1:5" hidden="1" x14ac:dyDescent="0.25">
      <c r="A285">
        <v>6</v>
      </c>
      <c r="B285">
        <v>7</v>
      </c>
      <c r="C285" t="s">
        <v>39</v>
      </c>
      <c r="D285" s="4">
        <v>0</v>
      </c>
      <c r="E285" t="s">
        <v>39</v>
      </c>
    </row>
    <row r="286" spans="1:5" x14ac:dyDescent="0.25">
      <c r="A286">
        <v>6</v>
      </c>
      <c r="B286">
        <v>7</v>
      </c>
      <c r="C286" t="s">
        <v>215</v>
      </c>
      <c r="D286" s="5">
        <v>0</v>
      </c>
      <c r="E286" t="s">
        <v>216</v>
      </c>
    </row>
    <row r="287" spans="1:5" hidden="1" x14ac:dyDescent="0.25">
      <c r="A287">
        <v>6</v>
      </c>
      <c r="B287">
        <v>7</v>
      </c>
      <c r="C287" t="s">
        <v>39</v>
      </c>
      <c r="D287" s="4">
        <v>0</v>
      </c>
      <c r="E287" t="s">
        <v>39</v>
      </c>
    </row>
    <row r="288" spans="1:5" x14ac:dyDescent="0.25">
      <c r="A288">
        <v>6</v>
      </c>
      <c r="B288">
        <v>7</v>
      </c>
      <c r="C288" t="s">
        <v>217</v>
      </c>
      <c r="D288" s="5">
        <v>0</v>
      </c>
      <c r="E288" t="s">
        <v>218</v>
      </c>
    </row>
    <row r="289" spans="1:5" hidden="1" x14ac:dyDescent="0.25">
      <c r="A289">
        <v>6</v>
      </c>
      <c r="B289">
        <v>7</v>
      </c>
      <c r="C289" t="s">
        <v>39</v>
      </c>
      <c r="D289" s="4">
        <v>0</v>
      </c>
      <c r="E289" t="s">
        <v>39</v>
      </c>
    </row>
    <row r="290" spans="1:5" hidden="1" x14ac:dyDescent="0.25">
      <c r="A290">
        <v>6</v>
      </c>
      <c r="B290">
        <v>10</v>
      </c>
      <c r="C290" t="s">
        <v>39</v>
      </c>
      <c r="D290" s="4">
        <v>0</v>
      </c>
      <c r="E290" t="s">
        <v>39</v>
      </c>
    </row>
    <row r="291" spans="1:5" x14ac:dyDescent="0.25">
      <c r="A291">
        <v>6</v>
      </c>
      <c r="B291">
        <v>10</v>
      </c>
      <c r="C291" t="s">
        <v>219</v>
      </c>
      <c r="D291" s="5">
        <v>0</v>
      </c>
      <c r="E291" t="s">
        <v>220</v>
      </c>
    </row>
    <row r="292" spans="1:5" hidden="1" x14ac:dyDescent="0.25">
      <c r="A292">
        <v>6</v>
      </c>
      <c r="B292">
        <v>10</v>
      </c>
      <c r="C292" t="s">
        <v>39</v>
      </c>
      <c r="D292" s="4">
        <v>0</v>
      </c>
      <c r="E292" t="s">
        <v>39</v>
      </c>
    </row>
    <row r="293" spans="1:5" x14ac:dyDescent="0.25">
      <c r="A293">
        <v>6</v>
      </c>
      <c r="B293">
        <v>10</v>
      </c>
      <c r="C293" t="s">
        <v>221</v>
      </c>
      <c r="D293" s="5">
        <v>0</v>
      </c>
      <c r="E293" t="s">
        <v>222</v>
      </c>
    </row>
    <row r="294" spans="1:5" hidden="1" x14ac:dyDescent="0.25">
      <c r="A294">
        <v>6</v>
      </c>
      <c r="B294">
        <v>10</v>
      </c>
      <c r="C294" t="s">
        <v>39</v>
      </c>
      <c r="D294" s="4">
        <v>0</v>
      </c>
      <c r="E294" t="s">
        <v>39</v>
      </c>
    </row>
    <row r="295" spans="1:5" hidden="1" x14ac:dyDescent="0.25">
      <c r="A295">
        <v>6</v>
      </c>
      <c r="B295">
        <v>13</v>
      </c>
      <c r="C295" t="s">
        <v>39</v>
      </c>
      <c r="D295" s="4">
        <v>0</v>
      </c>
      <c r="E295" t="s">
        <v>39</v>
      </c>
    </row>
    <row r="296" spans="1:5" x14ac:dyDescent="0.25">
      <c r="A296">
        <v>6</v>
      </c>
      <c r="B296">
        <v>13</v>
      </c>
      <c r="C296" t="s">
        <v>223</v>
      </c>
      <c r="D296" s="5">
        <v>0</v>
      </c>
      <c r="E296" t="s">
        <v>224</v>
      </c>
    </row>
    <row r="297" spans="1:5" hidden="1" x14ac:dyDescent="0.25">
      <c r="A297">
        <v>6</v>
      </c>
      <c r="B297">
        <v>13</v>
      </c>
      <c r="C297" t="s">
        <v>39</v>
      </c>
      <c r="D297" s="4">
        <v>0</v>
      </c>
      <c r="E297" t="s">
        <v>39</v>
      </c>
    </row>
    <row r="298" spans="1:5" x14ac:dyDescent="0.25">
      <c r="A298">
        <v>6</v>
      </c>
      <c r="B298">
        <v>13</v>
      </c>
      <c r="C298" t="s">
        <v>225</v>
      </c>
      <c r="D298" s="5">
        <v>0</v>
      </c>
      <c r="E298" t="s">
        <v>226</v>
      </c>
    </row>
    <row r="299" spans="1:5" hidden="1" x14ac:dyDescent="0.25">
      <c r="A299">
        <v>6</v>
      </c>
      <c r="B299">
        <v>13</v>
      </c>
      <c r="C299" t="s">
        <v>39</v>
      </c>
      <c r="D299" s="4">
        <v>0</v>
      </c>
      <c r="E299" t="s">
        <v>39</v>
      </c>
    </row>
    <row r="300" spans="1:5" x14ac:dyDescent="0.25">
      <c r="A300">
        <v>6</v>
      </c>
      <c r="B300">
        <v>13</v>
      </c>
      <c r="C300" t="s">
        <v>227</v>
      </c>
      <c r="D300" s="5">
        <v>0</v>
      </c>
      <c r="E300" t="s">
        <v>228</v>
      </c>
    </row>
    <row r="301" spans="1:5" hidden="1" x14ac:dyDescent="0.25">
      <c r="A301">
        <v>6</v>
      </c>
      <c r="B301">
        <v>13</v>
      </c>
      <c r="C301" t="s">
        <v>39</v>
      </c>
      <c r="D301" s="4">
        <v>0</v>
      </c>
      <c r="E301" t="s">
        <v>39</v>
      </c>
    </row>
    <row r="302" spans="1:5" x14ac:dyDescent="0.25">
      <c r="A302">
        <v>6</v>
      </c>
      <c r="B302">
        <v>13</v>
      </c>
      <c r="C302" t="s">
        <v>229</v>
      </c>
      <c r="D302" s="5">
        <v>0</v>
      </c>
      <c r="E302" t="s">
        <v>230</v>
      </c>
    </row>
    <row r="303" spans="1:5" hidden="1" x14ac:dyDescent="0.25">
      <c r="A303">
        <v>6</v>
      </c>
      <c r="B303">
        <v>13</v>
      </c>
      <c r="C303" t="s">
        <v>39</v>
      </c>
      <c r="D303" s="4">
        <v>0</v>
      </c>
      <c r="E303" t="s">
        <v>39</v>
      </c>
    </row>
    <row r="304" spans="1:5" hidden="1" x14ac:dyDescent="0.25">
      <c r="A304">
        <v>6</v>
      </c>
      <c r="B304">
        <v>16</v>
      </c>
      <c r="C304" t="s">
        <v>39</v>
      </c>
      <c r="D304" s="4">
        <v>0</v>
      </c>
      <c r="E304" t="s">
        <v>39</v>
      </c>
    </row>
    <row r="305" spans="1:5" x14ac:dyDescent="0.25">
      <c r="A305">
        <v>6</v>
      </c>
      <c r="B305">
        <v>16</v>
      </c>
      <c r="C305" t="s">
        <v>231</v>
      </c>
      <c r="D305" s="5">
        <v>0</v>
      </c>
      <c r="E305" t="s">
        <v>232</v>
      </c>
    </row>
    <row r="306" spans="1:5" hidden="1" x14ac:dyDescent="0.25">
      <c r="A306">
        <v>6</v>
      </c>
      <c r="B306">
        <v>16</v>
      </c>
      <c r="C306" t="s">
        <v>39</v>
      </c>
      <c r="D306" s="4">
        <v>0</v>
      </c>
      <c r="E306" t="s">
        <v>39</v>
      </c>
    </row>
    <row r="307" spans="1:5" x14ac:dyDescent="0.25">
      <c r="A307">
        <v>6</v>
      </c>
      <c r="B307">
        <v>16</v>
      </c>
      <c r="C307" t="s">
        <v>233</v>
      </c>
      <c r="D307" s="5">
        <v>0</v>
      </c>
      <c r="E307" t="s">
        <v>234</v>
      </c>
    </row>
    <row r="308" spans="1:5" hidden="1" x14ac:dyDescent="0.25">
      <c r="A308">
        <v>6</v>
      </c>
      <c r="B308">
        <v>16</v>
      </c>
      <c r="C308" t="s">
        <v>39</v>
      </c>
      <c r="D308" s="4">
        <v>0</v>
      </c>
      <c r="E308" t="s">
        <v>39</v>
      </c>
    </row>
    <row r="309" spans="1:5" x14ac:dyDescent="0.25">
      <c r="A309">
        <v>6</v>
      </c>
      <c r="B309">
        <v>16</v>
      </c>
      <c r="C309" t="s">
        <v>235</v>
      </c>
      <c r="D309" s="5">
        <v>0</v>
      </c>
      <c r="E309" t="s">
        <v>236</v>
      </c>
    </row>
    <row r="310" spans="1:5" hidden="1" x14ac:dyDescent="0.25">
      <c r="A310">
        <v>6</v>
      </c>
      <c r="B310">
        <v>16</v>
      </c>
      <c r="C310" t="s">
        <v>39</v>
      </c>
      <c r="D310" s="4">
        <v>0</v>
      </c>
      <c r="E310" t="s">
        <v>39</v>
      </c>
    </row>
    <row r="311" spans="1:5" x14ac:dyDescent="0.25">
      <c r="A311">
        <v>6</v>
      </c>
      <c r="B311">
        <v>16</v>
      </c>
      <c r="C311" t="s">
        <v>237</v>
      </c>
      <c r="D311" s="5">
        <v>0</v>
      </c>
      <c r="E311" t="s">
        <v>238</v>
      </c>
    </row>
    <row r="312" spans="1:5" hidden="1" x14ac:dyDescent="0.25">
      <c r="A312">
        <v>6</v>
      </c>
      <c r="B312">
        <v>16</v>
      </c>
      <c r="C312" t="s">
        <v>39</v>
      </c>
      <c r="D312" s="4">
        <v>0</v>
      </c>
      <c r="E312" t="s">
        <v>39</v>
      </c>
    </row>
    <row r="313" spans="1:5" hidden="1" x14ac:dyDescent="0.25">
      <c r="A313">
        <v>6</v>
      </c>
      <c r="B313">
        <v>20</v>
      </c>
      <c r="C313" t="s">
        <v>39</v>
      </c>
      <c r="D313" s="4">
        <v>0</v>
      </c>
      <c r="E313" t="s">
        <v>39</v>
      </c>
    </row>
    <row r="314" spans="1:5" x14ac:dyDescent="0.25">
      <c r="A314">
        <v>6</v>
      </c>
      <c r="B314">
        <v>20</v>
      </c>
      <c r="C314" t="s">
        <v>239</v>
      </c>
      <c r="D314" s="5">
        <v>0</v>
      </c>
      <c r="E314" t="s">
        <v>240</v>
      </c>
    </row>
    <row r="315" spans="1:5" hidden="1" x14ac:dyDescent="0.25">
      <c r="A315">
        <v>6</v>
      </c>
      <c r="B315">
        <v>20</v>
      </c>
      <c r="C315" t="s">
        <v>39</v>
      </c>
      <c r="D315" s="4">
        <v>0</v>
      </c>
      <c r="E315" t="s">
        <v>39</v>
      </c>
    </row>
    <row r="316" spans="1:5" x14ac:dyDescent="0.25">
      <c r="A316">
        <v>6</v>
      </c>
      <c r="B316">
        <v>20</v>
      </c>
      <c r="C316" t="s">
        <v>241</v>
      </c>
      <c r="D316" s="5">
        <v>0</v>
      </c>
      <c r="E316" t="s">
        <v>242</v>
      </c>
    </row>
    <row r="317" spans="1:5" hidden="1" x14ac:dyDescent="0.25">
      <c r="A317">
        <v>6</v>
      </c>
      <c r="B317">
        <v>20</v>
      </c>
      <c r="C317" t="s">
        <v>39</v>
      </c>
      <c r="D317" s="4">
        <v>0</v>
      </c>
      <c r="E317" t="s">
        <v>39</v>
      </c>
    </row>
    <row r="318" spans="1:5" x14ac:dyDescent="0.25">
      <c r="A318">
        <v>6</v>
      </c>
      <c r="B318">
        <v>20</v>
      </c>
      <c r="C318" t="s">
        <v>243</v>
      </c>
      <c r="D318" s="5">
        <v>0</v>
      </c>
      <c r="E318" t="s">
        <v>244</v>
      </c>
    </row>
    <row r="319" spans="1:5" hidden="1" x14ac:dyDescent="0.25">
      <c r="A319">
        <v>6</v>
      </c>
      <c r="B319">
        <v>20</v>
      </c>
      <c r="C319" t="s">
        <v>39</v>
      </c>
      <c r="D319" s="4">
        <v>0</v>
      </c>
      <c r="E319" t="s">
        <v>39</v>
      </c>
    </row>
    <row r="320" spans="1:5" x14ac:dyDescent="0.25">
      <c r="A320">
        <v>6</v>
      </c>
      <c r="B320">
        <v>20</v>
      </c>
      <c r="C320" t="s">
        <v>245</v>
      </c>
      <c r="D320" s="5">
        <v>0</v>
      </c>
      <c r="E320" t="s">
        <v>246</v>
      </c>
    </row>
    <row r="321" spans="1:5" x14ac:dyDescent="0.25">
      <c r="A321">
        <v>7</v>
      </c>
      <c r="B321">
        <v>1</v>
      </c>
      <c r="C321" t="s">
        <v>247</v>
      </c>
      <c r="D321" s="5">
        <v>0</v>
      </c>
      <c r="E321" t="s">
        <v>248</v>
      </c>
    </row>
    <row r="322" spans="1:5" hidden="1" x14ac:dyDescent="0.25">
      <c r="A322">
        <v>7</v>
      </c>
      <c r="B322">
        <v>1</v>
      </c>
      <c r="C322" t="s">
        <v>39</v>
      </c>
      <c r="D322" s="4">
        <v>0</v>
      </c>
      <c r="E322" t="s">
        <v>39</v>
      </c>
    </row>
    <row r="323" spans="1:5" x14ac:dyDescent="0.25">
      <c r="A323">
        <v>7</v>
      </c>
      <c r="B323">
        <v>1</v>
      </c>
      <c r="C323" t="s">
        <v>122</v>
      </c>
      <c r="D323" s="5">
        <v>0</v>
      </c>
      <c r="E323" t="s">
        <v>249</v>
      </c>
    </row>
    <row r="324" spans="1:5" hidden="1" x14ac:dyDescent="0.25">
      <c r="A324">
        <v>7</v>
      </c>
      <c r="B324">
        <v>1</v>
      </c>
      <c r="C324" t="s">
        <v>39</v>
      </c>
      <c r="D324" s="4">
        <v>0</v>
      </c>
      <c r="E324" t="s">
        <v>39</v>
      </c>
    </row>
    <row r="325" spans="1:5" x14ac:dyDescent="0.25">
      <c r="A325">
        <v>7</v>
      </c>
      <c r="B325">
        <v>1</v>
      </c>
      <c r="C325" t="s">
        <v>250</v>
      </c>
      <c r="D325" s="5">
        <v>0</v>
      </c>
      <c r="E325" t="s">
        <v>251</v>
      </c>
    </row>
    <row r="326" spans="1:5" hidden="1" x14ac:dyDescent="0.25">
      <c r="A326">
        <v>7</v>
      </c>
      <c r="B326">
        <v>1</v>
      </c>
      <c r="C326" t="s">
        <v>39</v>
      </c>
      <c r="D326" s="4">
        <v>0</v>
      </c>
      <c r="E326" t="s">
        <v>39</v>
      </c>
    </row>
    <row r="327" spans="1:5" x14ac:dyDescent="0.25">
      <c r="A327">
        <v>7</v>
      </c>
      <c r="B327">
        <v>1</v>
      </c>
      <c r="C327" t="s">
        <v>252</v>
      </c>
      <c r="D327" s="5">
        <v>0</v>
      </c>
      <c r="E327" t="s">
        <v>253</v>
      </c>
    </row>
    <row r="328" spans="1:5" hidden="1" x14ac:dyDescent="0.25">
      <c r="A328">
        <v>7</v>
      </c>
      <c r="B328">
        <v>1</v>
      </c>
      <c r="C328" t="s">
        <v>39</v>
      </c>
      <c r="D328" s="4">
        <v>0</v>
      </c>
      <c r="E328" t="s">
        <v>39</v>
      </c>
    </row>
    <row r="329" spans="1:5" hidden="1" x14ac:dyDescent="0.25">
      <c r="A329">
        <v>7</v>
      </c>
      <c r="B329">
        <v>4</v>
      </c>
      <c r="C329" t="s">
        <v>39</v>
      </c>
      <c r="D329" s="4">
        <v>0</v>
      </c>
      <c r="E329" t="s">
        <v>39</v>
      </c>
    </row>
    <row r="330" spans="1:5" x14ac:dyDescent="0.25">
      <c r="A330">
        <v>7</v>
      </c>
      <c r="B330">
        <v>4</v>
      </c>
      <c r="C330" t="s">
        <v>254</v>
      </c>
      <c r="D330" s="5">
        <v>0</v>
      </c>
      <c r="E330" t="s">
        <v>255</v>
      </c>
    </row>
    <row r="331" spans="1:5" hidden="1" x14ac:dyDescent="0.25">
      <c r="A331">
        <v>7</v>
      </c>
      <c r="B331">
        <v>4</v>
      </c>
      <c r="C331" t="s">
        <v>39</v>
      </c>
      <c r="D331" s="4">
        <v>0</v>
      </c>
      <c r="E331" t="s">
        <v>39</v>
      </c>
    </row>
    <row r="332" spans="1:5" x14ac:dyDescent="0.25">
      <c r="A332">
        <v>7</v>
      </c>
      <c r="B332">
        <v>4</v>
      </c>
      <c r="C332" t="s">
        <v>256</v>
      </c>
      <c r="D332" s="5">
        <v>0</v>
      </c>
      <c r="E332" t="s">
        <v>257</v>
      </c>
    </row>
    <row r="333" spans="1:5" hidden="1" x14ac:dyDescent="0.25">
      <c r="A333">
        <v>7</v>
      </c>
      <c r="B333">
        <v>4</v>
      </c>
      <c r="C333" t="s">
        <v>39</v>
      </c>
      <c r="D333" s="4">
        <v>0</v>
      </c>
      <c r="E333" t="s">
        <v>39</v>
      </c>
    </row>
    <row r="334" spans="1:5" x14ac:dyDescent="0.25">
      <c r="A334">
        <v>7</v>
      </c>
      <c r="B334">
        <v>4</v>
      </c>
      <c r="C334" t="s">
        <v>258</v>
      </c>
      <c r="D334" s="5">
        <v>0</v>
      </c>
      <c r="E334" t="s">
        <v>259</v>
      </c>
    </row>
    <row r="335" spans="1:5" hidden="1" x14ac:dyDescent="0.25">
      <c r="A335">
        <v>7</v>
      </c>
      <c r="B335">
        <v>4</v>
      </c>
      <c r="C335" t="s">
        <v>39</v>
      </c>
      <c r="D335" s="4">
        <v>0</v>
      </c>
      <c r="E335" t="s">
        <v>39</v>
      </c>
    </row>
    <row r="336" spans="1:5" hidden="1" x14ac:dyDescent="0.25">
      <c r="A336">
        <v>7</v>
      </c>
      <c r="B336">
        <v>7</v>
      </c>
      <c r="C336" t="s">
        <v>39</v>
      </c>
      <c r="D336" s="4">
        <v>0</v>
      </c>
      <c r="E336" t="s">
        <v>39</v>
      </c>
    </row>
    <row r="337" spans="1:5" x14ac:dyDescent="0.25">
      <c r="A337">
        <v>7</v>
      </c>
      <c r="B337">
        <v>7</v>
      </c>
      <c r="C337" t="s">
        <v>260</v>
      </c>
      <c r="D337" s="5">
        <v>0</v>
      </c>
      <c r="E337" t="s">
        <v>2428</v>
      </c>
    </row>
    <row r="338" spans="1:5" hidden="1" x14ac:dyDescent="0.25">
      <c r="A338">
        <v>7</v>
      </c>
      <c r="B338">
        <v>7</v>
      </c>
      <c r="C338" t="s">
        <v>39</v>
      </c>
      <c r="D338" s="4">
        <v>0</v>
      </c>
      <c r="E338" t="s">
        <v>39</v>
      </c>
    </row>
    <row r="339" spans="1:5" x14ac:dyDescent="0.25">
      <c r="A339">
        <v>7</v>
      </c>
      <c r="B339">
        <v>7</v>
      </c>
      <c r="C339" t="s">
        <v>261</v>
      </c>
      <c r="D339" s="5">
        <v>0</v>
      </c>
      <c r="E339" t="s">
        <v>262</v>
      </c>
    </row>
    <row r="340" spans="1:5" hidden="1" x14ac:dyDescent="0.25">
      <c r="A340">
        <v>7</v>
      </c>
      <c r="B340">
        <v>7</v>
      </c>
      <c r="C340" t="s">
        <v>39</v>
      </c>
      <c r="D340" s="4">
        <v>0</v>
      </c>
      <c r="E340" t="s">
        <v>39</v>
      </c>
    </row>
    <row r="341" spans="1:5" x14ac:dyDescent="0.25">
      <c r="A341">
        <v>7</v>
      </c>
      <c r="B341">
        <v>7</v>
      </c>
      <c r="C341" t="s">
        <v>263</v>
      </c>
      <c r="D341" s="5">
        <v>0</v>
      </c>
      <c r="E341" t="s">
        <v>264</v>
      </c>
    </row>
    <row r="342" spans="1:5" hidden="1" x14ac:dyDescent="0.25">
      <c r="A342">
        <v>7</v>
      </c>
      <c r="B342">
        <v>7</v>
      </c>
      <c r="C342" t="s">
        <v>39</v>
      </c>
      <c r="D342" s="4">
        <v>0</v>
      </c>
      <c r="E342" t="s">
        <v>39</v>
      </c>
    </row>
    <row r="343" spans="1:5" hidden="1" x14ac:dyDescent="0.25">
      <c r="A343">
        <v>7</v>
      </c>
      <c r="B343">
        <v>10</v>
      </c>
      <c r="C343" t="s">
        <v>39</v>
      </c>
      <c r="D343" s="4">
        <v>0</v>
      </c>
      <c r="E343" t="s">
        <v>39</v>
      </c>
    </row>
    <row r="344" spans="1:5" x14ac:dyDescent="0.25">
      <c r="A344">
        <v>7</v>
      </c>
      <c r="B344">
        <v>10</v>
      </c>
      <c r="C344" t="s">
        <v>265</v>
      </c>
      <c r="D344" s="5">
        <v>60</v>
      </c>
      <c r="E344" t="s">
        <v>266</v>
      </c>
    </row>
    <row r="345" spans="1:5" hidden="1" x14ac:dyDescent="0.25">
      <c r="A345">
        <v>7</v>
      </c>
      <c r="B345">
        <v>10</v>
      </c>
      <c r="C345" t="s">
        <v>39</v>
      </c>
      <c r="D345" s="4">
        <v>0</v>
      </c>
      <c r="E345" t="s">
        <v>39</v>
      </c>
    </row>
    <row r="346" spans="1:5" hidden="1" x14ac:dyDescent="0.25">
      <c r="A346">
        <v>7</v>
      </c>
      <c r="B346">
        <v>10</v>
      </c>
      <c r="C346" t="s">
        <v>39</v>
      </c>
      <c r="D346" s="4">
        <v>0</v>
      </c>
      <c r="E346" t="s">
        <v>39</v>
      </c>
    </row>
    <row r="347" spans="1:5" x14ac:dyDescent="0.25">
      <c r="A347">
        <v>7</v>
      </c>
      <c r="B347">
        <v>10</v>
      </c>
      <c r="C347" t="s">
        <v>267</v>
      </c>
      <c r="D347" s="5">
        <v>80</v>
      </c>
      <c r="E347" t="s">
        <v>268</v>
      </c>
    </row>
    <row r="348" spans="1:5" hidden="1" x14ac:dyDescent="0.25">
      <c r="A348">
        <v>7</v>
      </c>
      <c r="B348">
        <v>10</v>
      </c>
      <c r="C348" t="s">
        <v>39</v>
      </c>
      <c r="D348" s="4">
        <v>0</v>
      </c>
      <c r="E348" t="s">
        <v>39</v>
      </c>
    </row>
    <row r="349" spans="1:5" hidden="1" x14ac:dyDescent="0.25">
      <c r="A349">
        <v>7</v>
      </c>
      <c r="B349">
        <v>10</v>
      </c>
      <c r="C349" t="s">
        <v>39</v>
      </c>
      <c r="D349" s="4">
        <v>0</v>
      </c>
      <c r="E349" t="s">
        <v>39</v>
      </c>
    </row>
    <row r="350" spans="1:5" hidden="1" x14ac:dyDescent="0.25">
      <c r="A350">
        <v>7</v>
      </c>
      <c r="B350">
        <v>13</v>
      </c>
      <c r="C350" t="s">
        <v>39</v>
      </c>
      <c r="D350" s="4">
        <v>0</v>
      </c>
      <c r="E350" t="s">
        <v>39</v>
      </c>
    </row>
    <row r="351" spans="1:5" x14ac:dyDescent="0.25">
      <c r="A351">
        <v>7</v>
      </c>
      <c r="B351">
        <v>13</v>
      </c>
      <c r="C351" t="s">
        <v>269</v>
      </c>
      <c r="D351" s="5">
        <v>0</v>
      </c>
      <c r="E351" t="s">
        <v>270</v>
      </c>
    </row>
    <row r="352" spans="1:5" hidden="1" x14ac:dyDescent="0.25">
      <c r="A352">
        <v>7</v>
      </c>
      <c r="B352">
        <v>13</v>
      </c>
      <c r="C352" t="s">
        <v>39</v>
      </c>
      <c r="D352" s="4">
        <v>0</v>
      </c>
      <c r="E352" t="s">
        <v>39</v>
      </c>
    </row>
    <row r="353" spans="1:5" x14ac:dyDescent="0.25">
      <c r="A353">
        <v>7</v>
      </c>
      <c r="B353">
        <v>13</v>
      </c>
      <c r="C353" t="s">
        <v>271</v>
      </c>
      <c r="D353" s="5">
        <v>0</v>
      </c>
      <c r="E353" t="s">
        <v>272</v>
      </c>
    </row>
    <row r="354" spans="1:5" hidden="1" x14ac:dyDescent="0.25">
      <c r="A354">
        <v>7</v>
      </c>
      <c r="B354">
        <v>13</v>
      </c>
      <c r="C354" t="s">
        <v>39</v>
      </c>
      <c r="D354" s="4">
        <v>0</v>
      </c>
      <c r="E354" t="s">
        <v>39</v>
      </c>
    </row>
    <row r="355" spans="1:5" x14ac:dyDescent="0.25">
      <c r="A355">
        <v>7</v>
      </c>
      <c r="B355">
        <v>13</v>
      </c>
      <c r="C355" t="s">
        <v>273</v>
      </c>
      <c r="D355" s="5">
        <v>0</v>
      </c>
      <c r="E355" t="s">
        <v>274</v>
      </c>
    </row>
    <row r="356" spans="1:5" hidden="1" x14ac:dyDescent="0.25">
      <c r="A356">
        <v>7</v>
      </c>
      <c r="B356">
        <v>13</v>
      </c>
      <c r="C356" t="s">
        <v>39</v>
      </c>
      <c r="D356" s="4">
        <v>0</v>
      </c>
      <c r="E356" t="s">
        <v>39</v>
      </c>
    </row>
    <row r="357" spans="1:5" hidden="1" x14ac:dyDescent="0.25">
      <c r="A357">
        <v>7</v>
      </c>
      <c r="B357">
        <v>16</v>
      </c>
      <c r="C357" t="s">
        <v>39</v>
      </c>
      <c r="D357" s="4">
        <v>0</v>
      </c>
      <c r="E357" t="s">
        <v>39</v>
      </c>
    </row>
    <row r="358" spans="1:5" x14ac:dyDescent="0.25">
      <c r="A358">
        <v>7</v>
      </c>
      <c r="B358">
        <v>16</v>
      </c>
      <c r="C358" t="s">
        <v>275</v>
      </c>
      <c r="D358" s="5">
        <v>0</v>
      </c>
      <c r="E358" t="s">
        <v>2429</v>
      </c>
    </row>
    <row r="359" spans="1:5" hidden="1" x14ac:dyDescent="0.25">
      <c r="A359">
        <v>7</v>
      </c>
      <c r="B359">
        <v>16</v>
      </c>
      <c r="C359" t="s">
        <v>39</v>
      </c>
      <c r="D359" s="4">
        <v>0</v>
      </c>
      <c r="E359" t="s">
        <v>39</v>
      </c>
    </row>
    <row r="360" spans="1:5" x14ac:dyDescent="0.25">
      <c r="A360">
        <v>7</v>
      </c>
      <c r="B360">
        <v>16</v>
      </c>
      <c r="C360" t="s">
        <v>276</v>
      </c>
      <c r="D360" s="5">
        <v>25</v>
      </c>
      <c r="E360" t="s">
        <v>277</v>
      </c>
    </row>
    <row r="361" spans="1:5" hidden="1" x14ac:dyDescent="0.25">
      <c r="A361">
        <v>7</v>
      </c>
      <c r="B361">
        <v>16</v>
      </c>
      <c r="C361" t="s">
        <v>39</v>
      </c>
      <c r="D361" s="4">
        <v>0</v>
      </c>
      <c r="E361" t="s">
        <v>39</v>
      </c>
    </row>
    <row r="362" spans="1:5" hidden="1" x14ac:dyDescent="0.25">
      <c r="A362">
        <v>7</v>
      </c>
      <c r="B362">
        <v>16</v>
      </c>
      <c r="C362" t="s">
        <v>39</v>
      </c>
      <c r="D362" s="4">
        <v>0</v>
      </c>
      <c r="E362" t="s">
        <v>39</v>
      </c>
    </row>
    <row r="363" spans="1:5" x14ac:dyDescent="0.25">
      <c r="A363">
        <v>7</v>
      </c>
      <c r="B363">
        <v>16</v>
      </c>
      <c r="C363" t="s">
        <v>278</v>
      </c>
      <c r="D363" s="5">
        <v>0</v>
      </c>
      <c r="E363" t="s">
        <v>279</v>
      </c>
    </row>
    <row r="364" spans="1:5" hidden="1" x14ac:dyDescent="0.25">
      <c r="A364">
        <v>7</v>
      </c>
      <c r="B364">
        <v>16</v>
      </c>
      <c r="C364" t="s">
        <v>39</v>
      </c>
      <c r="D364" s="4">
        <v>0</v>
      </c>
      <c r="E364" t="s">
        <v>39</v>
      </c>
    </row>
    <row r="365" spans="1:5" hidden="1" x14ac:dyDescent="0.25">
      <c r="A365">
        <v>7</v>
      </c>
      <c r="B365">
        <v>20</v>
      </c>
      <c r="C365" t="s">
        <v>39</v>
      </c>
      <c r="D365" s="4">
        <v>0</v>
      </c>
      <c r="E365" t="s">
        <v>39</v>
      </c>
    </row>
    <row r="366" spans="1:5" x14ac:dyDescent="0.25">
      <c r="A366">
        <v>7</v>
      </c>
      <c r="B366">
        <v>20</v>
      </c>
      <c r="C366" t="s">
        <v>280</v>
      </c>
      <c r="D366" s="5">
        <v>0</v>
      </c>
      <c r="E366" t="s">
        <v>281</v>
      </c>
    </row>
    <row r="367" spans="1:5" hidden="1" x14ac:dyDescent="0.25">
      <c r="A367">
        <v>7</v>
      </c>
      <c r="B367">
        <v>20</v>
      </c>
      <c r="C367" t="s">
        <v>39</v>
      </c>
      <c r="D367" s="4">
        <v>0</v>
      </c>
      <c r="E367" t="s">
        <v>39</v>
      </c>
    </row>
    <row r="368" spans="1:5" x14ac:dyDescent="0.25">
      <c r="A368">
        <v>7</v>
      </c>
      <c r="B368">
        <v>20</v>
      </c>
      <c r="C368" t="s">
        <v>282</v>
      </c>
      <c r="D368" s="5">
        <v>0</v>
      </c>
      <c r="E368" t="s">
        <v>283</v>
      </c>
    </row>
    <row r="369" spans="1:5" hidden="1" x14ac:dyDescent="0.25">
      <c r="A369">
        <v>7</v>
      </c>
      <c r="B369">
        <v>20</v>
      </c>
      <c r="C369" t="s">
        <v>39</v>
      </c>
      <c r="D369" s="4">
        <v>0</v>
      </c>
      <c r="E369" t="s">
        <v>39</v>
      </c>
    </row>
    <row r="370" spans="1:5" x14ac:dyDescent="0.25">
      <c r="A370">
        <v>7</v>
      </c>
      <c r="B370">
        <v>20</v>
      </c>
      <c r="C370" t="s">
        <v>120</v>
      </c>
      <c r="D370" s="5">
        <v>0</v>
      </c>
      <c r="E370" t="s">
        <v>284</v>
      </c>
    </row>
    <row r="371" spans="1:5" hidden="1" x14ac:dyDescent="0.25">
      <c r="A371">
        <v>7</v>
      </c>
      <c r="B371">
        <v>20</v>
      </c>
      <c r="C371" t="s">
        <v>39</v>
      </c>
      <c r="D371" s="4">
        <v>0</v>
      </c>
      <c r="E371" t="s">
        <v>39</v>
      </c>
    </row>
    <row r="372" spans="1:5" x14ac:dyDescent="0.25">
      <c r="A372">
        <v>7</v>
      </c>
      <c r="B372">
        <v>20</v>
      </c>
      <c r="C372" t="s">
        <v>193</v>
      </c>
      <c r="D372" s="5">
        <v>70</v>
      </c>
      <c r="E372" t="s">
        <v>194</v>
      </c>
    </row>
    <row r="373" spans="1:5" x14ac:dyDescent="0.25">
      <c r="A373">
        <v>8</v>
      </c>
      <c r="B373">
        <v>1</v>
      </c>
      <c r="C373" t="s">
        <v>285</v>
      </c>
      <c r="D373" s="5">
        <v>0</v>
      </c>
      <c r="E373" t="s">
        <v>286</v>
      </c>
    </row>
    <row r="374" spans="1:5" hidden="1" x14ac:dyDescent="0.25">
      <c r="A374">
        <v>8</v>
      </c>
      <c r="B374">
        <v>1</v>
      </c>
      <c r="C374" t="s">
        <v>39</v>
      </c>
      <c r="D374" s="4">
        <v>0</v>
      </c>
      <c r="E374" t="s">
        <v>39</v>
      </c>
    </row>
    <row r="375" spans="1:5" x14ac:dyDescent="0.25">
      <c r="A375">
        <v>8</v>
      </c>
      <c r="B375">
        <v>1</v>
      </c>
      <c r="C375" t="s">
        <v>287</v>
      </c>
      <c r="D375" s="5">
        <v>0</v>
      </c>
      <c r="E375" t="s">
        <v>288</v>
      </c>
    </row>
    <row r="376" spans="1:5" hidden="1" x14ac:dyDescent="0.25">
      <c r="A376">
        <v>8</v>
      </c>
      <c r="B376">
        <v>1</v>
      </c>
      <c r="C376" t="s">
        <v>39</v>
      </c>
      <c r="D376" s="4">
        <v>0</v>
      </c>
      <c r="E376" t="s">
        <v>39</v>
      </c>
    </row>
    <row r="377" spans="1:5" x14ac:dyDescent="0.25">
      <c r="A377">
        <v>8</v>
      </c>
      <c r="B377">
        <v>1</v>
      </c>
      <c r="C377" t="s">
        <v>289</v>
      </c>
      <c r="D377" s="5">
        <v>0</v>
      </c>
      <c r="E377" t="s">
        <v>290</v>
      </c>
    </row>
    <row r="378" spans="1:5" hidden="1" x14ac:dyDescent="0.25">
      <c r="A378">
        <v>8</v>
      </c>
      <c r="B378">
        <v>1</v>
      </c>
      <c r="C378" t="s">
        <v>39</v>
      </c>
      <c r="D378" s="4">
        <v>0</v>
      </c>
      <c r="E378" t="s">
        <v>39</v>
      </c>
    </row>
    <row r="379" spans="1:5" x14ac:dyDescent="0.25">
      <c r="A379">
        <v>8</v>
      </c>
      <c r="B379">
        <v>1</v>
      </c>
      <c r="C379" t="s">
        <v>291</v>
      </c>
      <c r="D379" s="5">
        <v>20</v>
      </c>
      <c r="E379" t="s">
        <v>292</v>
      </c>
    </row>
    <row r="380" spans="1:5" hidden="1" x14ac:dyDescent="0.25">
      <c r="A380">
        <v>8</v>
      </c>
      <c r="B380">
        <v>1</v>
      </c>
      <c r="C380" t="s">
        <v>39</v>
      </c>
      <c r="D380" s="4">
        <v>0</v>
      </c>
      <c r="E380" t="s">
        <v>39</v>
      </c>
    </row>
    <row r="381" spans="1:5" hidden="1" x14ac:dyDescent="0.25">
      <c r="A381">
        <v>8</v>
      </c>
      <c r="B381">
        <v>1</v>
      </c>
      <c r="C381" t="s">
        <v>39</v>
      </c>
      <c r="D381" s="4">
        <v>0</v>
      </c>
      <c r="E381" t="s">
        <v>39</v>
      </c>
    </row>
    <row r="382" spans="1:5" hidden="1" x14ac:dyDescent="0.25">
      <c r="A382">
        <v>8</v>
      </c>
      <c r="B382">
        <v>4</v>
      </c>
      <c r="C382" t="s">
        <v>39</v>
      </c>
      <c r="D382" s="4">
        <v>0</v>
      </c>
      <c r="E382" t="s">
        <v>39</v>
      </c>
    </row>
    <row r="383" spans="1:5" x14ac:dyDescent="0.25">
      <c r="A383">
        <v>8</v>
      </c>
      <c r="B383">
        <v>4</v>
      </c>
      <c r="C383" t="s">
        <v>293</v>
      </c>
      <c r="D383" s="5">
        <v>0</v>
      </c>
      <c r="E383" t="s">
        <v>294</v>
      </c>
    </row>
    <row r="384" spans="1:5" hidden="1" x14ac:dyDescent="0.25">
      <c r="A384">
        <v>8</v>
      </c>
      <c r="B384">
        <v>4</v>
      </c>
      <c r="C384" t="s">
        <v>39</v>
      </c>
      <c r="D384" s="4">
        <v>0</v>
      </c>
      <c r="E384" t="s">
        <v>39</v>
      </c>
    </row>
    <row r="385" spans="1:5" x14ac:dyDescent="0.25">
      <c r="A385">
        <v>8</v>
      </c>
      <c r="B385">
        <v>4</v>
      </c>
      <c r="C385" t="s">
        <v>295</v>
      </c>
      <c r="D385" s="5">
        <v>0</v>
      </c>
      <c r="E385" t="s">
        <v>296</v>
      </c>
    </row>
    <row r="386" spans="1:5" hidden="1" x14ac:dyDescent="0.25">
      <c r="A386">
        <v>8</v>
      </c>
      <c r="B386">
        <v>4</v>
      </c>
      <c r="C386" t="s">
        <v>39</v>
      </c>
      <c r="D386" s="4">
        <v>0</v>
      </c>
      <c r="E386" t="s">
        <v>39</v>
      </c>
    </row>
    <row r="387" spans="1:5" x14ac:dyDescent="0.25">
      <c r="A387">
        <v>8</v>
      </c>
      <c r="B387">
        <v>4</v>
      </c>
      <c r="C387" t="s">
        <v>297</v>
      </c>
      <c r="D387" s="5">
        <v>0</v>
      </c>
      <c r="E387" t="s">
        <v>298</v>
      </c>
    </row>
    <row r="388" spans="1:5" hidden="1" x14ac:dyDescent="0.25">
      <c r="A388">
        <v>8</v>
      </c>
      <c r="B388">
        <v>4</v>
      </c>
      <c r="C388" t="s">
        <v>39</v>
      </c>
      <c r="D388" s="4">
        <v>0</v>
      </c>
      <c r="E388" t="s">
        <v>39</v>
      </c>
    </row>
    <row r="389" spans="1:5" hidden="1" x14ac:dyDescent="0.25">
      <c r="A389">
        <v>8</v>
      </c>
      <c r="B389">
        <v>7</v>
      </c>
      <c r="C389" t="s">
        <v>39</v>
      </c>
      <c r="D389" s="4">
        <v>0</v>
      </c>
      <c r="E389" t="s">
        <v>39</v>
      </c>
    </row>
    <row r="390" spans="1:5" x14ac:dyDescent="0.25">
      <c r="A390">
        <v>8</v>
      </c>
      <c r="B390">
        <v>7</v>
      </c>
      <c r="C390" t="s">
        <v>2430</v>
      </c>
      <c r="D390" s="5">
        <v>0</v>
      </c>
      <c r="E390" t="s">
        <v>299</v>
      </c>
    </row>
    <row r="391" spans="1:5" hidden="1" x14ac:dyDescent="0.25">
      <c r="A391">
        <v>8</v>
      </c>
      <c r="B391">
        <v>7</v>
      </c>
      <c r="C391" t="s">
        <v>39</v>
      </c>
      <c r="D391" s="4">
        <v>0</v>
      </c>
      <c r="E391" t="s">
        <v>39</v>
      </c>
    </row>
    <row r="392" spans="1:5" x14ac:dyDescent="0.25">
      <c r="A392">
        <v>8</v>
      </c>
      <c r="B392">
        <v>7</v>
      </c>
      <c r="C392" t="s">
        <v>300</v>
      </c>
      <c r="D392" s="5">
        <v>0</v>
      </c>
      <c r="E392" t="s">
        <v>301</v>
      </c>
    </row>
    <row r="393" spans="1:5" hidden="1" x14ac:dyDescent="0.25">
      <c r="A393">
        <v>8</v>
      </c>
      <c r="B393">
        <v>7</v>
      </c>
      <c r="C393" t="s">
        <v>39</v>
      </c>
      <c r="D393" s="4">
        <v>0</v>
      </c>
      <c r="E393" t="s">
        <v>39</v>
      </c>
    </row>
    <row r="394" spans="1:5" x14ac:dyDescent="0.25">
      <c r="A394">
        <v>8</v>
      </c>
      <c r="B394">
        <v>7</v>
      </c>
      <c r="C394" t="s">
        <v>302</v>
      </c>
      <c r="D394" s="5">
        <v>0</v>
      </c>
      <c r="E394" t="s">
        <v>303</v>
      </c>
    </row>
    <row r="395" spans="1:5" hidden="1" x14ac:dyDescent="0.25">
      <c r="A395">
        <v>8</v>
      </c>
      <c r="B395">
        <v>7</v>
      </c>
      <c r="C395" t="s">
        <v>39</v>
      </c>
      <c r="D395" s="4">
        <v>0</v>
      </c>
      <c r="E395" t="s">
        <v>39</v>
      </c>
    </row>
    <row r="396" spans="1:5" hidden="1" x14ac:dyDescent="0.25">
      <c r="A396">
        <v>8</v>
      </c>
      <c r="B396">
        <v>10</v>
      </c>
      <c r="C396" t="s">
        <v>39</v>
      </c>
      <c r="D396" s="4">
        <v>0</v>
      </c>
      <c r="E396" t="s">
        <v>39</v>
      </c>
    </row>
    <row r="397" spans="1:5" x14ac:dyDescent="0.25">
      <c r="A397">
        <v>8</v>
      </c>
      <c r="B397">
        <v>10</v>
      </c>
      <c r="C397" t="s">
        <v>304</v>
      </c>
      <c r="D397" s="5">
        <v>70</v>
      </c>
      <c r="E397" t="s">
        <v>305</v>
      </c>
    </row>
    <row r="398" spans="1:5" hidden="1" x14ac:dyDescent="0.25">
      <c r="A398">
        <v>8</v>
      </c>
      <c r="B398">
        <v>10</v>
      </c>
      <c r="C398" t="s">
        <v>39</v>
      </c>
      <c r="D398" s="4">
        <v>0</v>
      </c>
      <c r="E398" t="s">
        <v>39</v>
      </c>
    </row>
    <row r="399" spans="1:5" hidden="1" x14ac:dyDescent="0.25">
      <c r="A399">
        <v>8</v>
      </c>
      <c r="B399">
        <v>10</v>
      </c>
      <c r="C399" t="s">
        <v>39</v>
      </c>
      <c r="D399" s="4">
        <v>0</v>
      </c>
      <c r="E399" t="s">
        <v>39</v>
      </c>
    </row>
    <row r="400" spans="1:5" x14ac:dyDescent="0.25">
      <c r="A400">
        <v>8</v>
      </c>
      <c r="B400">
        <v>10</v>
      </c>
      <c r="C400" t="s">
        <v>306</v>
      </c>
      <c r="D400" s="5">
        <v>100</v>
      </c>
      <c r="E400" t="s">
        <v>307</v>
      </c>
    </row>
    <row r="401" spans="1:5" hidden="1" x14ac:dyDescent="0.25">
      <c r="A401">
        <v>8</v>
      </c>
      <c r="B401">
        <v>10</v>
      </c>
      <c r="C401" t="s">
        <v>39</v>
      </c>
      <c r="D401" s="4">
        <v>0</v>
      </c>
      <c r="E401" t="s">
        <v>39</v>
      </c>
    </row>
    <row r="402" spans="1:5" hidden="1" x14ac:dyDescent="0.25">
      <c r="A402">
        <v>8</v>
      </c>
      <c r="B402">
        <v>10</v>
      </c>
      <c r="C402" t="s">
        <v>39</v>
      </c>
      <c r="D402" s="4">
        <v>0</v>
      </c>
      <c r="E402" t="s">
        <v>39</v>
      </c>
    </row>
    <row r="403" spans="1:5" hidden="1" x14ac:dyDescent="0.25">
      <c r="A403">
        <v>8</v>
      </c>
      <c r="B403">
        <v>13</v>
      </c>
      <c r="C403" t="s">
        <v>39</v>
      </c>
      <c r="D403" s="4">
        <v>0</v>
      </c>
      <c r="E403" t="s">
        <v>39</v>
      </c>
    </row>
    <row r="404" spans="1:5" x14ac:dyDescent="0.25">
      <c r="A404">
        <v>8</v>
      </c>
      <c r="B404">
        <v>13</v>
      </c>
      <c r="C404" t="s">
        <v>308</v>
      </c>
      <c r="D404" s="5">
        <v>0</v>
      </c>
      <c r="E404" t="s">
        <v>2431</v>
      </c>
    </row>
    <row r="405" spans="1:5" hidden="1" x14ac:dyDescent="0.25">
      <c r="A405">
        <v>8</v>
      </c>
      <c r="B405">
        <v>13</v>
      </c>
      <c r="C405" t="s">
        <v>39</v>
      </c>
      <c r="D405" s="4">
        <v>0</v>
      </c>
      <c r="E405" t="s">
        <v>39</v>
      </c>
    </row>
    <row r="406" spans="1:5" x14ac:dyDescent="0.25">
      <c r="A406">
        <v>8</v>
      </c>
      <c r="B406">
        <v>13</v>
      </c>
      <c r="C406" t="s">
        <v>309</v>
      </c>
      <c r="D406" s="5">
        <v>0</v>
      </c>
      <c r="E406" t="s">
        <v>310</v>
      </c>
    </row>
    <row r="407" spans="1:5" hidden="1" x14ac:dyDescent="0.25">
      <c r="A407">
        <v>8</v>
      </c>
      <c r="B407">
        <v>13</v>
      </c>
      <c r="C407" t="s">
        <v>39</v>
      </c>
      <c r="D407" s="4">
        <v>0</v>
      </c>
      <c r="E407" t="s">
        <v>39</v>
      </c>
    </row>
    <row r="408" spans="1:5" x14ac:dyDescent="0.25">
      <c r="A408">
        <v>8</v>
      </c>
      <c r="B408">
        <v>13</v>
      </c>
      <c r="C408" t="s">
        <v>311</v>
      </c>
      <c r="D408" s="5">
        <v>0</v>
      </c>
      <c r="E408" t="s">
        <v>312</v>
      </c>
    </row>
    <row r="409" spans="1:5" hidden="1" x14ac:dyDescent="0.25">
      <c r="A409">
        <v>8</v>
      </c>
      <c r="B409">
        <v>13</v>
      </c>
      <c r="C409" t="s">
        <v>39</v>
      </c>
      <c r="D409" s="4">
        <v>0</v>
      </c>
      <c r="E409" t="s">
        <v>39</v>
      </c>
    </row>
    <row r="410" spans="1:5" hidden="1" x14ac:dyDescent="0.25">
      <c r="A410">
        <v>8</v>
      </c>
      <c r="B410">
        <v>16</v>
      </c>
      <c r="C410" t="s">
        <v>39</v>
      </c>
      <c r="D410" s="4">
        <v>0</v>
      </c>
      <c r="E410" t="s">
        <v>39</v>
      </c>
    </row>
    <row r="411" spans="1:5" x14ac:dyDescent="0.25">
      <c r="A411">
        <v>8</v>
      </c>
      <c r="B411">
        <v>16</v>
      </c>
      <c r="C411" t="s">
        <v>313</v>
      </c>
      <c r="D411" s="5">
        <v>0</v>
      </c>
      <c r="E411" t="s">
        <v>2432</v>
      </c>
    </row>
    <row r="412" spans="1:5" hidden="1" x14ac:dyDescent="0.25">
      <c r="A412">
        <v>8</v>
      </c>
      <c r="B412">
        <v>16</v>
      </c>
      <c r="C412" t="s">
        <v>39</v>
      </c>
      <c r="D412" s="4">
        <v>0</v>
      </c>
      <c r="E412" t="s">
        <v>39</v>
      </c>
    </row>
    <row r="413" spans="1:5" x14ac:dyDescent="0.25">
      <c r="A413">
        <v>8</v>
      </c>
      <c r="B413">
        <v>16</v>
      </c>
      <c r="C413" t="s">
        <v>314</v>
      </c>
      <c r="D413" s="5">
        <v>0</v>
      </c>
      <c r="E413" t="s">
        <v>315</v>
      </c>
    </row>
    <row r="414" spans="1:5" hidden="1" x14ac:dyDescent="0.25">
      <c r="A414">
        <v>8</v>
      </c>
      <c r="B414">
        <v>16</v>
      </c>
      <c r="C414" t="s">
        <v>39</v>
      </c>
      <c r="D414" s="4">
        <v>0</v>
      </c>
      <c r="E414" t="s">
        <v>39</v>
      </c>
    </row>
    <row r="415" spans="1:5" x14ac:dyDescent="0.25">
      <c r="A415">
        <v>8</v>
      </c>
      <c r="B415">
        <v>16</v>
      </c>
      <c r="C415" t="s">
        <v>316</v>
      </c>
      <c r="D415" s="5">
        <v>0</v>
      </c>
      <c r="E415" t="s">
        <v>317</v>
      </c>
    </row>
    <row r="416" spans="1:5" hidden="1" x14ac:dyDescent="0.25">
      <c r="A416">
        <v>8</v>
      </c>
      <c r="B416">
        <v>16</v>
      </c>
      <c r="C416" t="s">
        <v>39</v>
      </c>
      <c r="D416" s="4">
        <v>0</v>
      </c>
      <c r="E416" t="s">
        <v>39</v>
      </c>
    </row>
    <row r="417" spans="1:5" hidden="1" x14ac:dyDescent="0.25">
      <c r="A417">
        <v>8</v>
      </c>
      <c r="B417">
        <v>20</v>
      </c>
      <c r="C417" t="s">
        <v>39</v>
      </c>
      <c r="D417" s="4">
        <v>0</v>
      </c>
      <c r="E417" t="s">
        <v>39</v>
      </c>
    </row>
    <row r="418" spans="1:5" x14ac:dyDescent="0.25">
      <c r="A418">
        <v>8</v>
      </c>
      <c r="B418">
        <v>20</v>
      </c>
      <c r="C418" t="s">
        <v>318</v>
      </c>
      <c r="D418" s="5">
        <v>0</v>
      </c>
      <c r="E418" t="s">
        <v>319</v>
      </c>
    </row>
    <row r="419" spans="1:5" hidden="1" x14ac:dyDescent="0.25">
      <c r="A419">
        <v>8</v>
      </c>
      <c r="B419">
        <v>20</v>
      </c>
      <c r="C419" t="s">
        <v>39</v>
      </c>
      <c r="D419" s="4">
        <v>0</v>
      </c>
      <c r="E419" t="s">
        <v>39</v>
      </c>
    </row>
    <row r="420" spans="1:5" x14ac:dyDescent="0.25">
      <c r="A420">
        <v>8</v>
      </c>
      <c r="B420">
        <v>20</v>
      </c>
      <c r="C420" t="s">
        <v>320</v>
      </c>
      <c r="D420" s="5">
        <v>0</v>
      </c>
      <c r="E420" t="s">
        <v>2433</v>
      </c>
    </row>
    <row r="421" spans="1:5" hidden="1" x14ac:dyDescent="0.25">
      <c r="A421">
        <v>8</v>
      </c>
      <c r="B421">
        <v>20</v>
      </c>
      <c r="C421" t="s">
        <v>39</v>
      </c>
      <c r="D421" s="4">
        <v>0</v>
      </c>
      <c r="E421" t="s">
        <v>39</v>
      </c>
    </row>
    <row r="422" spans="1:5" x14ac:dyDescent="0.25">
      <c r="A422">
        <v>8</v>
      </c>
      <c r="B422">
        <v>20</v>
      </c>
      <c r="C422" t="s">
        <v>321</v>
      </c>
      <c r="D422" s="5">
        <v>5</v>
      </c>
      <c r="E422" t="s">
        <v>322</v>
      </c>
    </row>
    <row r="423" spans="1:5" hidden="1" x14ac:dyDescent="0.25">
      <c r="A423">
        <v>8</v>
      </c>
      <c r="B423">
        <v>20</v>
      </c>
      <c r="C423" t="s">
        <v>39</v>
      </c>
      <c r="D423" s="4">
        <v>0</v>
      </c>
      <c r="E423" t="s">
        <v>39</v>
      </c>
    </row>
    <row r="424" spans="1:5" hidden="1" x14ac:dyDescent="0.25">
      <c r="A424">
        <v>8</v>
      </c>
      <c r="B424">
        <v>20</v>
      </c>
      <c r="C424" t="s">
        <v>39</v>
      </c>
      <c r="D424" s="4">
        <v>0</v>
      </c>
      <c r="E424" t="s">
        <v>39</v>
      </c>
    </row>
    <row r="425" spans="1:5" x14ac:dyDescent="0.25">
      <c r="A425">
        <v>8</v>
      </c>
      <c r="B425">
        <v>20</v>
      </c>
      <c r="C425" t="s">
        <v>323</v>
      </c>
      <c r="D425" s="5">
        <v>0</v>
      </c>
      <c r="E425" t="s">
        <v>324</v>
      </c>
    </row>
    <row r="426" spans="1:5" x14ac:dyDescent="0.25">
      <c r="A426">
        <v>9</v>
      </c>
      <c r="B426">
        <v>1</v>
      </c>
      <c r="C426" t="s">
        <v>325</v>
      </c>
      <c r="D426" s="5">
        <v>0</v>
      </c>
      <c r="E426" t="s">
        <v>326</v>
      </c>
    </row>
    <row r="427" spans="1:5" hidden="1" x14ac:dyDescent="0.25">
      <c r="A427">
        <v>9</v>
      </c>
      <c r="B427">
        <v>1</v>
      </c>
      <c r="C427" t="s">
        <v>39</v>
      </c>
      <c r="D427" s="4">
        <v>0</v>
      </c>
      <c r="E427" t="s">
        <v>39</v>
      </c>
    </row>
    <row r="428" spans="1:5" x14ac:dyDescent="0.25">
      <c r="A428">
        <v>9</v>
      </c>
      <c r="B428">
        <v>1</v>
      </c>
      <c r="C428" t="s">
        <v>327</v>
      </c>
      <c r="D428" s="5">
        <v>0</v>
      </c>
      <c r="E428" t="s">
        <v>328</v>
      </c>
    </row>
    <row r="429" spans="1:5" hidden="1" x14ac:dyDescent="0.25">
      <c r="A429">
        <v>9</v>
      </c>
      <c r="B429">
        <v>1</v>
      </c>
      <c r="C429" t="s">
        <v>39</v>
      </c>
      <c r="D429" s="4">
        <v>0</v>
      </c>
      <c r="E429" t="s">
        <v>39</v>
      </c>
    </row>
    <row r="430" spans="1:5" x14ac:dyDescent="0.25">
      <c r="A430">
        <v>9</v>
      </c>
      <c r="B430">
        <v>1</v>
      </c>
      <c r="C430" t="s">
        <v>329</v>
      </c>
      <c r="D430" s="5">
        <v>0</v>
      </c>
      <c r="E430" t="s">
        <v>330</v>
      </c>
    </row>
    <row r="431" spans="1:5" hidden="1" x14ac:dyDescent="0.25">
      <c r="A431">
        <v>9</v>
      </c>
      <c r="B431">
        <v>1</v>
      </c>
      <c r="C431" t="s">
        <v>39</v>
      </c>
      <c r="D431" s="4">
        <v>0</v>
      </c>
      <c r="E431" t="s">
        <v>39</v>
      </c>
    </row>
    <row r="432" spans="1:5" hidden="1" x14ac:dyDescent="0.25">
      <c r="A432">
        <v>9</v>
      </c>
      <c r="B432">
        <v>4</v>
      </c>
      <c r="C432" t="s">
        <v>39</v>
      </c>
      <c r="D432" s="4">
        <v>0</v>
      </c>
      <c r="E432" t="s">
        <v>39</v>
      </c>
    </row>
    <row r="433" spans="1:5" x14ac:dyDescent="0.25">
      <c r="A433">
        <v>9</v>
      </c>
      <c r="B433">
        <v>4</v>
      </c>
      <c r="C433" t="s">
        <v>331</v>
      </c>
      <c r="D433" s="5">
        <v>0</v>
      </c>
      <c r="E433" t="s">
        <v>332</v>
      </c>
    </row>
    <row r="434" spans="1:5" hidden="1" x14ac:dyDescent="0.25">
      <c r="A434">
        <v>9</v>
      </c>
      <c r="B434">
        <v>4</v>
      </c>
      <c r="C434" t="s">
        <v>39</v>
      </c>
      <c r="D434" s="4">
        <v>0</v>
      </c>
      <c r="E434" t="s">
        <v>39</v>
      </c>
    </row>
    <row r="435" spans="1:5" x14ac:dyDescent="0.25">
      <c r="A435">
        <v>9</v>
      </c>
      <c r="B435">
        <v>4</v>
      </c>
      <c r="C435" t="s">
        <v>333</v>
      </c>
      <c r="D435" s="5">
        <v>0</v>
      </c>
      <c r="E435" t="s">
        <v>334</v>
      </c>
    </row>
    <row r="436" spans="1:5" hidden="1" x14ac:dyDescent="0.25">
      <c r="A436">
        <v>9</v>
      </c>
      <c r="B436">
        <v>4</v>
      </c>
      <c r="C436" t="s">
        <v>39</v>
      </c>
      <c r="D436" s="4">
        <v>0</v>
      </c>
      <c r="E436" t="s">
        <v>39</v>
      </c>
    </row>
    <row r="437" spans="1:5" x14ac:dyDescent="0.25">
      <c r="A437">
        <v>9</v>
      </c>
      <c r="B437">
        <v>4</v>
      </c>
      <c r="C437" t="s">
        <v>335</v>
      </c>
      <c r="D437" s="5">
        <v>0</v>
      </c>
      <c r="E437" t="s">
        <v>336</v>
      </c>
    </row>
    <row r="438" spans="1:5" hidden="1" x14ac:dyDescent="0.25">
      <c r="A438">
        <v>9</v>
      </c>
      <c r="B438">
        <v>4</v>
      </c>
      <c r="C438" t="s">
        <v>39</v>
      </c>
      <c r="D438" s="4">
        <v>0</v>
      </c>
      <c r="E438" t="s">
        <v>39</v>
      </c>
    </row>
    <row r="439" spans="1:5" hidden="1" x14ac:dyDescent="0.25">
      <c r="A439">
        <v>9</v>
      </c>
      <c r="B439">
        <v>7</v>
      </c>
      <c r="C439" t="s">
        <v>39</v>
      </c>
      <c r="D439" s="4">
        <v>0</v>
      </c>
      <c r="E439" t="s">
        <v>39</v>
      </c>
    </row>
    <row r="440" spans="1:5" x14ac:dyDescent="0.25">
      <c r="A440">
        <v>9</v>
      </c>
      <c r="B440">
        <v>7</v>
      </c>
      <c r="C440" t="s">
        <v>337</v>
      </c>
      <c r="D440" s="5">
        <v>0</v>
      </c>
      <c r="E440" t="s">
        <v>338</v>
      </c>
    </row>
    <row r="441" spans="1:5" hidden="1" x14ac:dyDescent="0.25">
      <c r="A441">
        <v>9</v>
      </c>
      <c r="B441">
        <v>7</v>
      </c>
      <c r="C441" t="s">
        <v>39</v>
      </c>
      <c r="D441" s="4">
        <v>0</v>
      </c>
      <c r="E441" t="s">
        <v>39</v>
      </c>
    </row>
    <row r="442" spans="1:5" x14ac:dyDescent="0.25">
      <c r="A442">
        <v>9</v>
      </c>
      <c r="B442">
        <v>7</v>
      </c>
      <c r="C442" t="s">
        <v>339</v>
      </c>
      <c r="D442" s="5">
        <v>0</v>
      </c>
      <c r="E442" t="s">
        <v>340</v>
      </c>
    </row>
    <row r="443" spans="1:5" hidden="1" x14ac:dyDescent="0.25">
      <c r="A443">
        <v>9</v>
      </c>
      <c r="B443">
        <v>7</v>
      </c>
      <c r="C443" t="s">
        <v>39</v>
      </c>
      <c r="D443" s="4">
        <v>0</v>
      </c>
      <c r="E443" t="s">
        <v>39</v>
      </c>
    </row>
    <row r="444" spans="1:5" x14ac:dyDescent="0.25">
      <c r="A444">
        <v>9</v>
      </c>
      <c r="B444">
        <v>7</v>
      </c>
      <c r="C444" t="s">
        <v>341</v>
      </c>
      <c r="D444" s="5">
        <v>0</v>
      </c>
      <c r="E444" t="s">
        <v>2434</v>
      </c>
    </row>
    <row r="445" spans="1:5" hidden="1" x14ac:dyDescent="0.25">
      <c r="A445">
        <v>9</v>
      </c>
      <c r="B445">
        <v>7</v>
      </c>
      <c r="C445" t="s">
        <v>39</v>
      </c>
      <c r="D445" s="4">
        <v>0</v>
      </c>
      <c r="E445" t="s">
        <v>39</v>
      </c>
    </row>
    <row r="446" spans="1:5" hidden="1" x14ac:dyDescent="0.25">
      <c r="A446">
        <v>9</v>
      </c>
      <c r="B446">
        <v>10</v>
      </c>
      <c r="C446" t="s">
        <v>39</v>
      </c>
      <c r="D446" s="4">
        <v>0</v>
      </c>
      <c r="E446" t="s">
        <v>39</v>
      </c>
    </row>
    <row r="447" spans="1:5" x14ac:dyDescent="0.25">
      <c r="A447">
        <v>9</v>
      </c>
      <c r="B447">
        <v>10</v>
      </c>
      <c r="C447" t="s">
        <v>342</v>
      </c>
      <c r="D447" s="5">
        <v>0</v>
      </c>
      <c r="E447" t="s">
        <v>343</v>
      </c>
    </row>
    <row r="448" spans="1:5" hidden="1" x14ac:dyDescent="0.25">
      <c r="A448">
        <v>9</v>
      </c>
      <c r="B448">
        <v>10</v>
      </c>
      <c r="C448" t="s">
        <v>39</v>
      </c>
      <c r="D448" s="4">
        <v>0</v>
      </c>
      <c r="E448" t="s">
        <v>39</v>
      </c>
    </row>
    <row r="449" spans="1:5" x14ac:dyDescent="0.25">
      <c r="A449">
        <v>9</v>
      </c>
      <c r="B449">
        <v>10</v>
      </c>
      <c r="C449" t="s">
        <v>344</v>
      </c>
      <c r="D449" s="5">
        <v>0</v>
      </c>
      <c r="E449" t="s">
        <v>345</v>
      </c>
    </row>
    <row r="450" spans="1:5" hidden="1" x14ac:dyDescent="0.25">
      <c r="A450">
        <v>9</v>
      </c>
      <c r="B450">
        <v>10</v>
      </c>
      <c r="C450" t="s">
        <v>39</v>
      </c>
      <c r="D450" s="4">
        <v>0</v>
      </c>
      <c r="E450" t="s">
        <v>39</v>
      </c>
    </row>
    <row r="451" spans="1:5" hidden="1" x14ac:dyDescent="0.25">
      <c r="A451">
        <v>9</v>
      </c>
      <c r="B451">
        <v>13</v>
      </c>
      <c r="C451" t="s">
        <v>39</v>
      </c>
      <c r="D451" s="4">
        <v>0</v>
      </c>
      <c r="E451" t="s">
        <v>39</v>
      </c>
    </row>
    <row r="452" spans="1:5" x14ac:dyDescent="0.25">
      <c r="A452">
        <v>9</v>
      </c>
      <c r="B452">
        <v>13</v>
      </c>
      <c r="C452" t="s">
        <v>346</v>
      </c>
      <c r="D452" s="5">
        <v>0</v>
      </c>
      <c r="E452" t="s">
        <v>2435</v>
      </c>
    </row>
    <row r="453" spans="1:5" hidden="1" x14ac:dyDescent="0.25">
      <c r="A453">
        <v>9</v>
      </c>
      <c r="B453">
        <v>13</v>
      </c>
      <c r="C453" t="s">
        <v>39</v>
      </c>
      <c r="D453" s="4">
        <v>0</v>
      </c>
      <c r="E453" t="s">
        <v>39</v>
      </c>
    </row>
    <row r="454" spans="1:5" x14ac:dyDescent="0.25">
      <c r="A454">
        <v>9</v>
      </c>
      <c r="B454">
        <v>13</v>
      </c>
      <c r="C454" t="s">
        <v>347</v>
      </c>
      <c r="D454" s="5">
        <v>0</v>
      </c>
      <c r="E454" t="s">
        <v>348</v>
      </c>
    </row>
    <row r="455" spans="1:5" hidden="1" x14ac:dyDescent="0.25">
      <c r="A455">
        <v>9</v>
      </c>
      <c r="B455">
        <v>13</v>
      </c>
      <c r="C455" t="s">
        <v>39</v>
      </c>
      <c r="D455" s="4">
        <v>0</v>
      </c>
      <c r="E455" t="s">
        <v>39</v>
      </c>
    </row>
    <row r="456" spans="1:5" x14ac:dyDescent="0.25">
      <c r="A456">
        <v>9</v>
      </c>
      <c r="B456">
        <v>13</v>
      </c>
      <c r="C456" t="s">
        <v>349</v>
      </c>
      <c r="D456" s="5">
        <v>0</v>
      </c>
      <c r="E456" t="s">
        <v>350</v>
      </c>
    </row>
    <row r="457" spans="1:5" hidden="1" x14ac:dyDescent="0.25">
      <c r="A457">
        <v>9</v>
      </c>
      <c r="B457">
        <v>13</v>
      </c>
      <c r="C457" t="s">
        <v>39</v>
      </c>
      <c r="D457" s="4">
        <v>0</v>
      </c>
      <c r="E457" t="s">
        <v>39</v>
      </c>
    </row>
    <row r="458" spans="1:5" hidden="1" x14ac:dyDescent="0.25">
      <c r="A458">
        <v>9</v>
      </c>
      <c r="B458">
        <v>16</v>
      </c>
      <c r="C458" t="s">
        <v>39</v>
      </c>
      <c r="D458" s="4">
        <v>0</v>
      </c>
      <c r="E458" t="s">
        <v>39</v>
      </c>
    </row>
    <row r="459" spans="1:5" x14ac:dyDescent="0.25">
      <c r="A459">
        <v>9</v>
      </c>
      <c r="B459">
        <v>16</v>
      </c>
      <c r="C459" t="s">
        <v>351</v>
      </c>
      <c r="D459" s="5">
        <v>0</v>
      </c>
      <c r="E459" t="s">
        <v>352</v>
      </c>
    </row>
    <row r="460" spans="1:5" hidden="1" x14ac:dyDescent="0.25">
      <c r="A460">
        <v>9</v>
      </c>
      <c r="B460">
        <v>16</v>
      </c>
      <c r="C460" t="s">
        <v>39</v>
      </c>
      <c r="D460" s="4">
        <v>0</v>
      </c>
      <c r="E460" t="s">
        <v>39</v>
      </c>
    </row>
    <row r="461" spans="1:5" x14ac:dyDescent="0.25">
      <c r="A461">
        <v>9</v>
      </c>
      <c r="B461">
        <v>16</v>
      </c>
      <c r="C461" t="s">
        <v>353</v>
      </c>
      <c r="D461" s="5">
        <v>0</v>
      </c>
      <c r="E461" t="s">
        <v>354</v>
      </c>
    </row>
    <row r="462" spans="1:5" hidden="1" x14ac:dyDescent="0.25">
      <c r="A462">
        <v>9</v>
      </c>
      <c r="B462">
        <v>16</v>
      </c>
      <c r="C462" t="s">
        <v>39</v>
      </c>
      <c r="D462" s="4">
        <v>0</v>
      </c>
      <c r="E462" t="s">
        <v>39</v>
      </c>
    </row>
    <row r="463" spans="1:5" x14ac:dyDescent="0.25">
      <c r="A463">
        <v>9</v>
      </c>
      <c r="B463">
        <v>16</v>
      </c>
      <c r="C463" t="s">
        <v>355</v>
      </c>
      <c r="D463" s="5">
        <v>0</v>
      </c>
      <c r="E463" t="s">
        <v>356</v>
      </c>
    </row>
    <row r="464" spans="1:5" hidden="1" x14ac:dyDescent="0.25">
      <c r="A464">
        <v>9</v>
      </c>
      <c r="B464">
        <v>16</v>
      </c>
      <c r="C464" t="s">
        <v>39</v>
      </c>
      <c r="D464" s="4">
        <v>0</v>
      </c>
      <c r="E464" t="s">
        <v>39</v>
      </c>
    </row>
    <row r="465" spans="1:5" hidden="1" x14ac:dyDescent="0.25">
      <c r="A465">
        <v>9</v>
      </c>
      <c r="B465">
        <v>20</v>
      </c>
      <c r="C465" t="s">
        <v>39</v>
      </c>
      <c r="D465" s="4">
        <v>0</v>
      </c>
      <c r="E465" t="s">
        <v>39</v>
      </c>
    </row>
    <row r="466" spans="1:5" x14ac:dyDescent="0.25">
      <c r="A466">
        <v>9</v>
      </c>
      <c r="B466">
        <v>20</v>
      </c>
      <c r="C466" t="s">
        <v>2436</v>
      </c>
      <c r="D466" s="5">
        <v>0</v>
      </c>
      <c r="E466" t="s">
        <v>357</v>
      </c>
    </row>
    <row r="467" spans="1:5" hidden="1" x14ac:dyDescent="0.25">
      <c r="A467">
        <v>9</v>
      </c>
      <c r="B467">
        <v>20</v>
      </c>
      <c r="C467" t="s">
        <v>39</v>
      </c>
      <c r="D467" s="4">
        <v>0</v>
      </c>
      <c r="E467" t="s">
        <v>39</v>
      </c>
    </row>
    <row r="468" spans="1:5" x14ac:dyDescent="0.25">
      <c r="A468">
        <v>9</v>
      </c>
      <c r="B468">
        <v>20</v>
      </c>
      <c r="C468" t="s">
        <v>358</v>
      </c>
      <c r="D468" s="5">
        <v>0</v>
      </c>
      <c r="E468" t="s">
        <v>359</v>
      </c>
    </row>
    <row r="469" spans="1:5" hidden="1" x14ac:dyDescent="0.25">
      <c r="A469">
        <v>9</v>
      </c>
      <c r="B469">
        <v>20</v>
      </c>
      <c r="C469" t="s">
        <v>39</v>
      </c>
      <c r="D469" s="4">
        <v>0</v>
      </c>
      <c r="E469" t="s">
        <v>39</v>
      </c>
    </row>
    <row r="470" spans="1:5" x14ac:dyDescent="0.25">
      <c r="A470">
        <v>9</v>
      </c>
      <c r="B470">
        <v>20</v>
      </c>
      <c r="C470" t="s">
        <v>360</v>
      </c>
      <c r="D470" s="5">
        <v>0</v>
      </c>
      <c r="E470" t="s">
        <v>361</v>
      </c>
    </row>
    <row r="471" spans="1:5" x14ac:dyDescent="0.25">
      <c r="A471">
        <v>10</v>
      </c>
      <c r="B471">
        <v>1</v>
      </c>
      <c r="C471" t="s">
        <v>362</v>
      </c>
      <c r="D471" s="5">
        <v>0</v>
      </c>
      <c r="E471" t="s">
        <v>394</v>
      </c>
    </row>
    <row r="472" spans="1:5" hidden="1" x14ac:dyDescent="0.25">
      <c r="A472">
        <v>10</v>
      </c>
      <c r="B472">
        <v>1</v>
      </c>
      <c r="C472" t="s">
        <v>39</v>
      </c>
      <c r="D472" s="4">
        <v>0</v>
      </c>
      <c r="E472" t="s">
        <v>39</v>
      </c>
    </row>
    <row r="473" spans="1:5" x14ac:dyDescent="0.25">
      <c r="A473">
        <v>10</v>
      </c>
      <c r="B473">
        <v>1</v>
      </c>
      <c r="C473" t="s">
        <v>363</v>
      </c>
      <c r="D473" s="5">
        <v>0</v>
      </c>
      <c r="E473" t="s">
        <v>2437</v>
      </c>
    </row>
    <row r="474" spans="1:5" hidden="1" x14ac:dyDescent="0.25">
      <c r="A474">
        <v>10</v>
      </c>
      <c r="B474">
        <v>1</v>
      </c>
      <c r="C474" t="s">
        <v>39</v>
      </c>
      <c r="D474" s="4">
        <v>0</v>
      </c>
      <c r="E474" t="s">
        <v>39</v>
      </c>
    </row>
    <row r="475" spans="1:5" x14ac:dyDescent="0.25">
      <c r="A475">
        <v>10</v>
      </c>
      <c r="B475">
        <v>1</v>
      </c>
      <c r="C475" t="s">
        <v>2438</v>
      </c>
      <c r="D475" s="5">
        <v>25</v>
      </c>
      <c r="E475" t="s">
        <v>395</v>
      </c>
    </row>
    <row r="476" spans="1:5" hidden="1" x14ac:dyDescent="0.25">
      <c r="A476">
        <v>10</v>
      </c>
      <c r="B476">
        <v>1</v>
      </c>
      <c r="C476" t="s">
        <v>39</v>
      </c>
      <c r="D476" s="4">
        <v>0</v>
      </c>
      <c r="E476" t="s">
        <v>39</v>
      </c>
    </row>
    <row r="477" spans="1:5" hidden="1" x14ac:dyDescent="0.25">
      <c r="A477">
        <v>10</v>
      </c>
      <c r="B477">
        <v>1</v>
      </c>
      <c r="C477" t="s">
        <v>39</v>
      </c>
      <c r="D477" s="4">
        <v>0</v>
      </c>
      <c r="E477" t="s">
        <v>39</v>
      </c>
    </row>
    <row r="478" spans="1:5" hidden="1" x14ac:dyDescent="0.25">
      <c r="A478">
        <v>10</v>
      </c>
      <c r="B478">
        <v>2</v>
      </c>
      <c r="C478" t="s">
        <v>39</v>
      </c>
      <c r="D478" s="4">
        <v>0</v>
      </c>
      <c r="E478" t="s">
        <v>39</v>
      </c>
    </row>
    <row r="479" spans="1:5" x14ac:dyDescent="0.25">
      <c r="A479">
        <v>10</v>
      </c>
      <c r="B479">
        <v>2</v>
      </c>
      <c r="C479" t="s">
        <v>364</v>
      </c>
      <c r="D479" s="5">
        <v>0</v>
      </c>
      <c r="E479" t="s">
        <v>365</v>
      </c>
    </row>
    <row r="480" spans="1:5" hidden="1" x14ac:dyDescent="0.25">
      <c r="A480">
        <v>10</v>
      </c>
      <c r="B480">
        <v>2</v>
      </c>
      <c r="C480" t="s">
        <v>39</v>
      </c>
      <c r="D480" s="4">
        <v>0</v>
      </c>
      <c r="E480" t="s">
        <v>39</v>
      </c>
    </row>
    <row r="481" spans="1:5" x14ac:dyDescent="0.25">
      <c r="A481">
        <v>10</v>
      </c>
      <c r="B481">
        <v>2</v>
      </c>
      <c r="C481" t="s">
        <v>366</v>
      </c>
      <c r="D481" s="5">
        <v>0</v>
      </c>
      <c r="E481" t="s">
        <v>367</v>
      </c>
    </row>
    <row r="482" spans="1:5" hidden="1" x14ac:dyDescent="0.25">
      <c r="A482">
        <v>10</v>
      </c>
      <c r="B482">
        <v>2</v>
      </c>
      <c r="C482" t="s">
        <v>39</v>
      </c>
      <c r="D482" s="4">
        <v>0</v>
      </c>
      <c r="E482" t="s">
        <v>39</v>
      </c>
    </row>
    <row r="483" spans="1:5" x14ac:dyDescent="0.25">
      <c r="A483">
        <v>10</v>
      </c>
      <c r="B483">
        <v>2</v>
      </c>
      <c r="C483" t="s">
        <v>368</v>
      </c>
      <c r="D483" s="5">
        <v>0</v>
      </c>
      <c r="E483" t="s">
        <v>2439</v>
      </c>
    </row>
    <row r="484" spans="1:5" hidden="1" x14ac:dyDescent="0.25">
      <c r="A484">
        <v>10</v>
      </c>
      <c r="B484">
        <v>2</v>
      </c>
      <c r="C484" t="s">
        <v>39</v>
      </c>
      <c r="D484" s="4">
        <v>0</v>
      </c>
      <c r="E484" t="s">
        <v>39</v>
      </c>
    </row>
    <row r="485" spans="1:5" hidden="1" x14ac:dyDescent="0.25">
      <c r="A485">
        <v>10</v>
      </c>
      <c r="B485">
        <v>5</v>
      </c>
      <c r="C485" t="s">
        <v>39</v>
      </c>
      <c r="D485" s="4">
        <v>0</v>
      </c>
      <c r="E485" t="s">
        <v>39</v>
      </c>
    </row>
    <row r="486" spans="1:5" x14ac:dyDescent="0.25">
      <c r="A486">
        <v>10</v>
      </c>
      <c r="B486">
        <v>5</v>
      </c>
      <c r="C486" t="s">
        <v>369</v>
      </c>
      <c r="D486" s="5">
        <v>0</v>
      </c>
      <c r="E486" t="s">
        <v>2440</v>
      </c>
    </row>
    <row r="487" spans="1:5" hidden="1" x14ac:dyDescent="0.25">
      <c r="A487">
        <v>10</v>
      </c>
      <c r="B487">
        <v>5</v>
      </c>
      <c r="C487" t="s">
        <v>39</v>
      </c>
      <c r="D487" s="4">
        <v>0</v>
      </c>
      <c r="E487" t="s">
        <v>39</v>
      </c>
    </row>
    <row r="488" spans="1:5" x14ac:dyDescent="0.25">
      <c r="A488">
        <v>10</v>
      </c>
      <c r="B488">
        <v>5</v>
      </c>
      <c r="C488" t="s">
        <v>2441</v>
      </c>
      <c r="D488" s="5">
        <v>0</v>
      </c>
      <c r="E488" t="s">
        <v>2442</v>
      </c>
    </row>
    <row r="489" spans="1:5" hidden="1" x14ac:dyDescent="0.25">
      <c r="A489">
        <v>10</v>
      </c>
      <c r="B489">
        <v>5</v>
      </c>
      <c r="C489" t="s">
        <v>39</v>
      </c>
      <c r="D489" s="4">
        <v>0</v>
      </c>
      <c r="E489" t="s">
        <v>39</v>
      </c>
    </row>
    <row r="490" spans="1:5" x14ac:dyDescent="0.25">
      <c r="A490">
        <v>10</v>
      </c>
      <c r="B490">
        <v>5</v>
      </c>
      <c r="C490" t="s">
        <v>370</v>
      </c>
      <c r="D490" s="5">
        <v>0</v>
      </c>
      <c r="E490" t="s">
        <v>2443</v>
      </c>
    </row>
    <row r="491" spans="1:5" hidden="1" x14ac:dyDescent="0.25">
      <c r="A491">
        <v>10</v>
      </c>
      <c r="B491">
        <v>5</v>
      </c>
      <c r="C491" t="s">
        <v>39</v>
      </c>
      <c r="D491" s="4">
        <v>0</v>
      </c>
      <c r="E491" t="s">
        <v>39</v>
      </c>
    </row>
    <row r="492" spans="1:5" hidden="1" x14ac:dyDescent="0.25">
      <c r="A492">
        <v>10</v>
      </c>
      <c r="B492">
        <v>8</v>
      </c>
      <c r="C492" t="s">
        <v>39</v>
      </c>
      <c r="D492" s="4">
        <v>0</v>
      </c>
      <c r="E492" t="s">
        <v>39</v>
      </c>
    </row>
    <row r="493" spans="1:5" x14ac:dyDescent="0.25">
      <c r="A493">
        <v>10</v>
      </c>
      <c r="B493">
        <v>8</v>
      </c>
      <c r="C493" t="s">
        <v>371</v>
      </c>
      <c r="D493" s="5">
        <v>5</v>
      </c>
      <c r="E493" t="s">
        <v>372</v>
      </c>
    </row>
    <row r="494" spans="1:5" hidden="1" x14ac:dyDescent="0.25">
      <c r="A494">
        <v>10</v>
      </c>
      <c r="B494">
        <v>8</v>
      </c>
      <c r="C494" t="s">
        <v>39</v>
      </c>
      <c r="D494" s="4">
        <v>0</v>
      </c>
      <c r="E494" t="s">
        <v>39</v>
      </c>
    </row>
    <row r="495" spans="1:5" hidden="1" x14ac:dyDescent="0.25">
      <c r="A495">
        <v>10</v>
      </c>
      <c r="B495">
        <v>8</v>
      </c>
      <c r="C495" t="s">
        <v>39</v>
      </c>
      <c r="D495" s="4">
        <v>0</v>
      </c>
      <c r="E495" t="s">
        <v>39</v>
      </c>
    </row>
    <row r="496" spans="1:5" x14ac:dyDescent="0.25">
      <c r="A496">
        <v>10</v>
      </c>
      <c r="B496">
        <v>8</v>
      </c>
      <c r="C496" t="s">
        <v>373</v>
      </c>
      <c r="D496" s="5">
        <v>75</v>
      </c>
      <c r="E496" t="s">
        <v>374</v>
      </c>
    </row>
    <row r="497" spans="1:5" hidden="1" x14ac:dyDescent="0.25">
      <c r="A497">
        <v>10</v>
      </c>
      <c r="B497">
        <v>8</v>
      </c>
      <c r="C497" t="s">
        <v>39</v>
      </c>
      <c r="D497" s="4">
        <v>0</v>
      </c>
      <c r="E497" t="s">
        <v>39</v>
      </c>
    </row>
    <row r="498" spans="1:5" hidden="1" x14ac:dyDescent="0.25">
      <c r="A498">
        <v>10</v>
      </c>
      <c r="B498">
        <v>8</v>
      </c>
      <c r="C498" t="s">
        <v>39</v>
      </c>
      <c r="D498" s="4">
        <v>0</v>
      </c>
      <c r="E498" t="s">
        <v>39</v>
      </c>
    </row>
    <row r="499" spans="1:5" hidden="1" x14ac:dyDescent="0.25">
      <c r="A499">
        <v>10</v>
      </c>
      <c r="B499">
        <v>11</v>
      </c>
      <c r="C499" t="s">
        <v>39</v>
      </c>
      <c r="D499" s="4">
        <v>0</v>
      </c>
      <c r="E499" t="s">
        <v>39</v>
      </c>
    </row>
    <row r="500" spans="1:5" x14ac:dyDescent="0.25">
      <c r="A500">
        <v>10</v>
      </c>
      <c r="B500">
        <v>11</v>
      </c>
      <c r="C500" t="s">
        <v>375</v>
      </c>
      <c r="D500" s="5">
        <v>0</v>
      </c>
      <c r="E500" t="s">
        <v>376</v>
      </c>
    </row>
    <row r="501" spans="1:5" hidden="1" x14ac:dyDescent="0.25">
      <c r="A501">
        <v>10</v>
      </c>
      <c r="B501">
        <v>11</v>
      </c>
      <c r="C501" t="s">
        <v>39</v>
      </c>
      <c r="D501" s="4">
        <v>0</v>
      </c>
      <c r="E501" t="s">
        <v>39</v>
      </c>
    </row>
    <row r="502" spans="1:5" x14ac:dyDescent="0.25">
      <c r="A502">
        <v>10</v>
      </c>
      <c r="B502">
        <v>11</v>
      </c>
      <c r="C502" t="s">
        <v>377</v>
      </c>
      <c r="D502" s="5">
        <v>0</v>
      </c>
      <c r="E502" t="s">
        <v>2444</v>
      </c>
    </row>
    <row r="503" spans="1:5" hidden="1" x14ac:dyDescent="0.25">
      <c r="A503">
        <v>10</v>
      </c>
      <c r="B503">
        <v>11</v>
      </c>
      <c r="C503" t="s">
        <v>39</v>
      </c>
      <c r="D503" s="4">
        <v>0</v>
      </c>
      <c r="E503" t="s">
        <v>39</v>
      </c>
    </row>
    <row r="504" spans="1:5" x14ac:dyDescent="0.25">
      <c r="A504">
        <v>10</v>
      </c>
      <c r="B504">
        <v>11</v>
      </c>
      <c r="C504" t="s">
        <v>378</v>
      </c>
      <c r="D504" s="5">
        <v>60</v>
      </c>
      <c r="E504" t="s">
        <v>379</v>
      </c>
    </row>
    <row r="505" spans="1:5" hidden="1" x14ac:dyDescent="0.25">
      <c r="A505">
        <v>10</v>
      </c>
      <c r="B505">
        <v>11</v>
      </c>
      <c r="C505" t="s">
        <v>39</v>
      </c>
      <c r="D505" s="4">
        <v>0</v>
      </c>
      <c r="E505" t="s">
        <v>39</v>
      </c>
    </row>
    <row r="506" spans="1:5" hidden="1" x14ac:dyDescent="0.25">
      <c r="A506">
        <v>10</v>
      </c>
      <c r="B506">
        <v>11</v>
      </c>
      <c r="C506" t="s">
        <v>39</v>
      </c>
      <c r="D506" s="4">
        <v>0</v>
      </c>
      <c r="E506" t="s">
        <v>39</v>
      </c>
    </row>
    <row r="507" spans="1:5" hidden="1" x14ac:dyDescent="0.25">
      <c r="A507">
        <v>10</v>
      </c>
      <c r="B507">
        <v>14</v>
      </c>
      <c r="C507" t="s">
        <v>39</v>
      </c>
      <c r="D507" s="4">
        <v>0</v>
      </c>
      <c r="E507" t="s">
        <v>39</v>
      </c>
    </row>
    <row r="508" spans="1:5" x14ac:dyDescent="0.25">
      <c r="A508">
        <v>10</v>
      </c>
      <c r="B508">
        <v>14</v>
      </c>
      <c r="C508" t="s">
        <v>380</v>
      </c>
      <c r="D508" s="5">
        <v>0</v>
      </c>
      <c r="E508" t="s">
        <v>381</v>
      </c>
    </row>
    <row r="509" spans="1:5" hidden="1" x14ac:dyDescent="0.25">
      <c r="A509">
        <v>10</v>
      </c>
      <c r="B509">
        <v>14</v>
      </c>
      <c r="C509" t="s">
        <v>39</v>
      </c>
      <c r="D509" s="4">
        <v>0</v>
      </c>
      <c r="E509" t="s">
        <v>39</v>
      </c>
    </row>
    <row r="510" spans="1:5" x14ac:dyDescent="0.25">
      <c r="A510">
        <v>10</v>
      </c>
      <c r="B510">
        <v>14</v>
      </c>
      <c r="C510" t="s">
        <v>382</v>
      </c>
      <c r="D510" s="5">
        <v>0</v>
      </c>
      <c r="E510" t="s">
        <v>383</v>
      </c>
    </row>
    <row r="511" spans="1:5" hidden="1" x14ac:dyDescent="0.25">
      <c r="A511">
        <v>10</v>
      </c>
      <c r="B511">
        <v>14</v>
      </c>
      <c r="C511" t="s">
        <v>39</v>
      </c>
      <c r="D511" s="4">
        <v>0</v>
      </c>
      <c r="E511" t="s">
        <v>39</v>
      </c>
    </row>
    <row r="512" spans="1:5" x14ac:dyDescent="0.25">
      <c r="A512">
        <v>10</v>
      </c>
      <c r="B512">
        <v>14</v>
      </c>
      <c r="C512" t="s">
        <v>384</v>
      </c>
      <c r="D512" s="5">
        <v>30</v>
      </c>
      <c r="E512" t="s">
        <v>385</v>
      </c>
    </row>
    <row r="513" spans="1:5" hidden="1" x14ac:dyDescent="0.25">
      <c r="A513">
        <v>10</v>
      </c>
      <c r="B513">
        <v>14</v>
      </c>
      <c r="C513" t="s">
        <v>39</v>
      </c>
      <c r="D513" s="4">
        <v>0</v>
      </c>
      <c r="E513" t="s">
        <v>39</v>
      </c>
    </row>
    <row r="514" spans="1:5" hidden="1" x14ac:dyDescent="0.25">
      <c r="A514">
        <v>10</v>
      </c>
      <c r="B514">
        <v>14</v>
      </c>
      <c r="C514" t="s">
        <v>39</v>
      </c>
      <c r="D514" s="4">
        <v>0</v>
      </c>
      <c r="E514" t="s">
        <v>39</v>
      </c>
    </row>
    <row r="515" spans="1:5" hidden="1" x14ac:dyDescent="0.25">
      <c r="A515">
        <v>10</v>
      </c>
      <c r="B515">
        <v>18</v>
      </c>
      <c r="C515" t="s">
        <v>39</v>
      </c>
      <c r="D515" s="4">
        <v>0</v>
      </c>
      <c r="E515" t="s">
        <v>39</v>
      </c>
    </row>
    <row r="516" spans="1:5" x14ac:dyDescent="0.25">
      <c r="A516">
        <v>10</v>
      </c>
      <c r="B516">
        <v>18</v>
      </c>
      <c r="C516" t="s">
        <v>386</v>
      </c>
      <c r="D516" s="5">
        <v>0</v>
      </c>
      <c r="E516" t="s">
        <v>387</v>
      </c>
    </row>
    <row r="517" spans="1:5" hidden="1" x14ac:dyDescent="0.25">
      <c r="A517">
        <v>10</v>
      </c>
      <c r="B517">
        <v>18</v>
      </c>
      <c r="C517" t="s">
        <v>39</v>
      </c>
      <c r="D517" s="4">
        <v>0</v>
      </c>
      <c r="E517" t="s">
        <v>39</v>
      </c>
    </row>
    <row r="518" spans="1:5" x14ac:dyDescent="0.25">
      <c r="A518">
        <v>10</v>
      </c>
      <c r="B518">
        <v>18</v>
      </c>
      <c r="C518" t="s">
        <v>388</v>
      </c>
      <c r="D518" s="5">
        <v>0</v>
      </c>
      <c r="E518" t="s">
        <v>389</v>
      </c>
    </row>
    <row r="519" spans="1:5" hidden="1" x14ac:dyDescent="0.25">
      <c r="A519">
        <v>10</v>
      </c>
      <c r="B519">
        <v>18</v>
      </c>
      <c r="C519" t="s">
        <v>39</v>
      </c>
      <c r="D519" s="4">
        <v>0</v>
      </c>
      <c r="E519" t="s">
        <v>39</v>
      </c>
    </row>
    <row r="520" spans="1:5" x14ac:dyDescent="0.25">
      <c r="A520">
        <v>10</v>
      </c>
      <c r="B520">
        <v>18</v>
      </c>
      <c r="C520" t="s">
        <v>390</v>
      </c>
      <c r="D520" s="5">
        <v>0</v>
      </c>
      <c r="E520" t="s">
        <v>391</v>
      </c>
    </row>
    <row r="521" spans="1:5" hidden="1" x14ac:dyDescent="0.25">
      <c r="A521">
        <v>10</v>
      </c>
      <c r="B521">
        <v>18</v>
      </c>
      <c r="C521" t="s">
        <v>39</v>
      </c>
      <c r="D521" s="4">
        <v>0</v>
      </c>
      <c r="E521" t="s">
        <v>39</v>
      </c>
    </row>
    <row r="522" spans="1:5" x14ac:dyDescent="0.25">
      <c r="A522">
        <v>10</v>
      </c>
      <c r="B522">
        <v>18</v>
      </c>
      <c r="C522" t="s">
        <v>392</v>
      </c>
      <c r="D522" s="5">
        <v>0</v>
      </c>
      <c r="E522" t="s">
        <v>393</v>
      </c>
    </row>
    <row r="523" spans="1:5" x14ac:dyDescent="0.25">
      <c r="A523">
        <v>11</v>
      </c>
      <c r="B523">
        <v>1</v>
      </c>
      <c r="C523" t="s">
        <v>396</v>
      </c>
      <c r="D523" s="5">
        <v>0</v>
      </c>
      <c r="E523" t="s">
        <v>397</v>
      </c>
    </row>
    <row r="524" spans="1:5" hidden="1" x14ac:dyDescent="0.25">
      <c r="A524">
        <v>11</v>
      </c>
      <c r="B524">
        <v>1</v>
      </c>
      <c r="C524" t="s">
        <v>39</v>
      </c>
      <c r="D524" s="5">
        <v>0</v>
      </c>
      <c r="E524" t="s">
        <v>39</v>
      </c>
    </row>
    <row r="525" spans="1:5" x14ac:dyDescent="0.25">
      <c r="A525">
        <v>11</v>
      </c>
      <c r="B525">
        <v>1</v>
      </c>
      <c r="C525" t="s">
        <v>398</v>
      </c>
      <c r="D525" s="5">
        <v>0</v>
      </c>
      <c r="E525" t="s">
        <v>399</v>
      </c>
    </row>
    <row r="526" spans="1:5" hidden="1" x14ac:dyDescent="0.25">
      <c r="A526">
        <v>11</v>
      </c>
      <c r="B526">
        <v>1</v>
      </c>
      <c r="C526" t="s">
        <v>39</v>
      </c>
      <c r="D526" s="5">
        <v>0</v>
      </c>
      <c r="E526" t="s">
        <v>39</v>
      </c>
    </row>
    <row r="527" spans="1:5" x14ac:dyDescent="0.25">
      <c r="A527">
        <v>11</v>
      </c>
      <c r="B527">
        <v>1</v>
      </c>
      <c r="C527" t="s">
        <v>400</v>
      </c>
      <c r="D527" s="5">
        <v>0</v>
      </c>
      <c r="E527" t="s">
        <v>436</v>
      </c>
    </row>
    <row r="528" spans="1:5" hidden="1" x14ac:dyDescent="0.25">
      <c r="A528">
        <v>11</v>
      </c>
      <c r="B528">
        <v>1</v>
      </c>
      <c r="C528" t="s">
        <v>39</v>
      </c>
      <c r="D528" s="5">
        <v>0</v>
      </c>
      <c r="E528" t="s">
        <v>39</v>
      </c>
    </row>
    <row r="529" spans="1:5" x14ac:dyDescent="0.25">
      <c r="A529">
        <v>11</v>
      </c>
      <c r="B529">
        <v>1</v>
      </c>
      <c r="C529" t="s">
        <v>401</v>
      </c>
      <c r="D529" s="5">
        <v>0</v>
      </c>
      <c r="E529" t="s">
        <v>437</v>
      </c>
    </row>
    <row r="530" spans="1:5" hidden="1" x14ac:dyDescent="0.25">
      <c r="A530">
        <v>11</v>
      </c>
      <c r="B530">
        <v>1</v>
      </c>
      <c r="C530" t="s">
        <v>39</v>
      </c>
      <c r="D530" s="5">
        <v>0</v>
      </c>
      <c r="E530" t="s">
        <v>39</v>
      </c>
    </row>
    <row r="531" spans="1:5" hidden="1" x14ac:dyDescent="0.25">
      <c r="A531">
        <v>11</v>
      </c>
      <c r="B531">
        <v>4</v>
      </c>
      <c r="C531" t="s">
        <v>39</v>
      </c>
      <c r="D531" s="5">
        <v>0</v>
      </c>
      <c r="E531" t="s">
        <v>39</v>
      </c>
    </row>
    <row r="532" spans="1:5" x14ac:dyDescent="0.25">
      <c r="A532">
        <v>11</v>
      </c>
      <c r="B532">
        <v>4</v>
      </c>
      <c r="C532" t="s">
        <v>402</v>
      </c>
      <c r="D532" s="5">
        <v>0</v>
      </c>
      <c r="E532" t="s">
        <v>403</v>
      </c>
    </row>
    <row r="533" spans="1:5" hidden="1" x14ac:dyDescent="0.25">
      <c r="A533">
        <v>11</v>
      </c>
      <c r="B533">
        <v>4</v>
      </c>
      <c r="C533" t="s">
        <v>39</v>
      </c>
      <c r="D533" s="5">
        <v>0</v>
      </c>
      <c r="E533" t="s">
        <v>39</v>
      </c>
    </row>
    <row r="534" spans="1:5" x14ac:dyDescent="0.25">
      <c r="A534">
        <v>11</v>
      </c>
      <c r="B534">
        <v>4</v>
      </c>
      <c r="C534" t="s">
        <v>404</v>
      </c>
      <c r="D534" s="5">
        <v>0</v>
      </c>
      <c r="E534" t="s">
        <v>405</v>
      </c>
    </row>
    <row r="535" spans="1:5" hidden="1" x14ac:dyDescent="0.25">
      <c r="A535">
        <v>11</v>
      </c>
      <c r="B535">
        <v>4</v>
      </c>
      <c r="C535" t="s">
        <v>39</v>
      </c>
      <c r="D535" s="5">
        <v>0</v>
      </c>
      <c r="E535" t="s">
        <v>39</v>
      </c>
    </row>
    <row r="536" spans="1:5" x14ac:dyDescent="0.25">
      <c r="A536">
        <v>11</v>
      </c>
      <c r="B536">
        <v>4</v>
      </c>
      <c r="C536" t="s">
        <v>406</v>
      </c>
      <c r="D536" s="5">
        <v>0</v>
      </c>
      <c r="E536" t="s">
        <v>407</v>
      </c>
    </row>
    <row r="537" spans="1:5" hidden="1" x14ac:dyDescent="0.25">
      <c r="A537">
        <v>11</v>
      </c>
      <c r="B537">
        <v>4</v>
      </c>
      <c r="C537" t="s">
        <v>39</v>
      </c>
      <c r="D537" s="5">
        <v>0</v>
      </c>
      <c r="E537" t="s">
        <v>39</v>
      </c>
    </row>
    <row r="538" spans="1:5" hidden="1" x14ac:dyDescent="0.25">
      <c r="A538">
        <v>11</v>
      </c>
      <c r="B538">
        <v>7</v>
      </c>
      <c r="C538" t="s">
        <v>39</v>
      </c>
      <c r="D538" s="5">
        <v>0</v>
      </c>
      <c r="E538" t="s">
        <v>39</v>
      </c>
    </row>
    <row r="539" spans="1:5" x14ac:dyDescent="0.25">
      <c r="A539">
        <v>11</v>
      </c>
      <c r="B539">
        <v>7</v>
      </c>
      <c r="C539" t="s">
        <v>408</v>
      </c>
      <c r="D539" s="5">
        <v>0</v>
      </c>
      <c r="E539" t="s">
        <v>2445</v>
      </c>
    </row>
    <row r="540" spans="1:5" hidden="1" x14ac:dyDescent="0.25">
      <c r="A540">
        <v>11</v>
      </c>
      <c r="B540">
        <v>7</v>
      </c>
      <c r="C540" t="s">
        <v>39</v>
      </c>
      <c r="D540" s="5">
        <v>0</v>
      </c>
      <c r="E540" t="s">
        <v>39</v>
      </c>
    </row>
    <row r="541" spans="1:5" x14ac:dyDescent="0.25">
      <c r="A541">
        <v>11</v>
      </c>
      <c r="B541">
        <v>7</v>
      </c>
      <c r="C541" t="s">
        <v>409</v>
      </c>
      <c r="D541" s="5">
        <v>0</v>
      </c>
      <c r="E541" t="s">
        <v>410</v>
      </c>
    </row>
    <row r="542" spans="1:5" hidden="1" x14ac:dyDescent="0.25">
      <c r="A542">
        <v>11</v>
      </c>
      <c r="B542">
        <v>7</v>
      </c>
      <c r="C542" t="s">
        <v>39</v>
      </c>
      <c r="D542" s="5">
        <v>0</v>
      </c>
      <c r="E542" t="s">
        <v>39</v>
      </c>
    </row>
    <row r="543" spans="1:5" x14ac:dyDescent="0.25">
      <c r="A543">
        <v>11</v>
      </c>
      <c r="B543">
        <v>7</v>
      </c>
      <c r="C543" t="s">
        <v>411</v>
      </c>
      <c r="D543" s="5">
        <v>0</v>
      </c>
      <c r="E543" t="s">
        <v>412</v>
      </c>
    </row>
    <row r="544" spans="1:5" hidden="1" x14ac:dyDescent="0.25">
      <c r="A544">
        <v>11</v>
      </c>
      <c r="B544">
        <v>7</v>
      </c>
      <c r="C544" t="s">
        <v>39</v>
      </c>
      <c r="D544" s="5">
        <v>0</v>
      </c>
      <c r="E544" t="s">
        <v>39</v>
      </c>
    </row>
    <row r="545" spans="1:5" x14ac:dyDescent="0.25">
      <c r="A545">
        <v>11</v>
      </c>
      <c r="B545">
        <v>7</v>
      </c>
      <c r="C545" t="s">
        <v>413</v>
      </c>
      <c r="D545" s="5">
        <v>0</v>
      </c>
      <c r="E545" t="s">
        <v>438</v>
      </c>
    </row>
    <row r="546" spans="1:5" hidden="1" x14ac:dyDescent="0.25">
      <c r="A546">
        <v>11</v>
      </c>
      <c r="B546">
        <v>7</v>
      </c>
      <c r="C546" t="s">
        <v>39</v>
      </c>
      <c r="D546" s="5">
        <v>0</v>
      </c>
      <c r="E546" t="s">
        <v>39</v>
      </c>
    </row>
    <row r="547" spans="1:5" hidden="1" x14ac:dyDescent="0.25">
      <c r="A547">
        <v>11</v>
      </c>
      <c r="B547">
        <v>10</v>
      </c>
      <c r="C547" t="s">
        <v>39</v>
      </c>
      <c r="D547" s="5">
        <v>0</v>
      </c>
      <c r="E547" t="s">
        <v>39</v>
      </c>
    </row>
    <row r="548" spans="1:5" x14ac:dyDescent="0.25">
      <c r="A548">
        <v>11</v>
      </c>
      <c r="B548">
        <v>10</v>
      </c>
      <c r="C548" t="s">
        <v>414</v>
      </c>
      <c r="D548" s="5">
        <v>0</v>
      </c>
      <c r="E548" t="s">
        <v>415</v>
      </c>
    </row>
    <row r="549" spans="1:5" hidden="1" x14ac:dyDescent="0.25">
      <c r="A549">
        <v>11</v>
      </c>
      <c r="B549">
        <v>10</v>
      </c>
      <c r="C549" t="s">
        <v>39</v>
      </c>
      <c r="D549" s="5">
        <v>0</v>
      </c>
      <c r="E549" t="s">
        <v>39</v>
      </c>
    </row>
    <row r="550" spans="1:5" x14ac:dyDescent="0.25">
      <c r="A550">
        <v>11</v>
      </c>
      <c r="B550">
        <v>10</v>
      </c>
      <c r="C550" t="s">
        <v>416</v>
      </c>
      <c r="D550" s="5">
        <v>0</v>
      </c>
      <c r="E550" t="s">
        <v>417</v>
      </c>
    </row>
    <row r="551" spans="1:5" hidden="1" x14ac:dyDescent="0.25">
      <c r="A551">
        <v>11</v>
      </c>
      <c r="B551">
        <v>10</v>
      </c>
      <c r="C551" t="s">
        <v>39</v>
      </c>
      <c r="D551" s="5">
        <v>0</v>
      </c>
      <c r="E551" t="s">
        <v>39</v>
      </c>
    </row>
    <row r="552" spans="1:5" hidden="1" x14ac:dyDescent="0.25">
      <c r="A552">
        <v>11</v>
      </c>
      <c r="B552">
        <v>13</v>
      </c>
      <c r="C552" t="s">
        <v>39</v>
      </c>
      <c r="D552" s="5">
        <v>0</v>
      </c>
      <c r="E552" t="s">
        <v>39</v>
      </c>
    </row>
    <row r="553" spans="1:5" x14ac:dyDescent="0.25">
      <c r="A553">
        <v>11</v>
      </c>
      <c r="B553">
        <v>13</v>
      </c>
      <c r="C553" t="s">
        <v>418</v>
      </c>
      <c r="D553" s="5">
        <v>0</v>
      </c>
      <c r="E553" t="s">
        <v>2446</v>
      </c>
    </row>
    <row r="554" spans="1:5" hidden="1" x14ac:dyDescent="0.25">
      <c r="A554">
        <v>11</v>
      </c>
      <c r="B554">
        <v>13</v>
      </c>
      <c r="C554" t="s">
        <v>39</v>
      </c>
      <c r="D554" s="5">
        <v>0</v>
      </c>
      <c r="E554" t="s">
        <v>39</v>
      </c>
    </row>
    <row r="555" spans="1:5" x14ac:dyDescent="0.25">
      <c r="A555">
        <v>11</v>
      </c>
      <c r="B555">
        <v>13</v>
      </c>
      <c r="C555" t="s">
        <v>419</v>
      </c>
      <c r="D555" s="5">
        <v>0</v>
      </c>
      <c r="E555" t="s">
        <v>420</v>
      </c>
    </row>
    <row r="556" spans="1:5" hidden="1" x14ac:dyDescent="0.25">
      <c r="A556">
        <v>11</v>
      </c>
      <c r="B556">
        <v>13</v>
      </c>
      <c r="C556" t="s">
        <v>39</v>
      </c>
      <c r="D556" s="5">
        <v>0</v>
      </c>
      <c r="E556" t="s">
        <v>39</v>
      </c>
    </row>
    <row r="557" spans="1:5" x14ac:dyDescent="0.25">
      <c r="A557">
        <v>11</v>
      </c>
      <c r="B557">
        <v>13</v>
      </c>
      <c r="C557" t="s">
        <v>421</v>
      </c>
      <c r="D557" s="5">
        <v>0</v>
      </c>
      <c r="E557" t="s">
        <v>422</v>
      </c>
    </row>
    <row r="558" spans="1:5" hidden="1" x14ac:dyDescent="0.25">
      <c r="A558">
        <v>11</v>
      </c>
      <c r="B558">
        <v>13</v>
      </c>
      <c r="C558" t="s">
        <v>39</v>
      </c>
      <c r="D558" s="5">
        <v>0</v>
      </c>
      <c r="E558" t="s">
        <v>39</v>
      </c>
    </row>
    <row r="559" spans="1:5" hidden="1" x14ac:dyDescent="0.25">
      <c r="A559">
        <v>11</v>
      </c>
      <c r="B559">
        <v>16</v>
      </c>
      <c r="C559" t="s">
        <v>39</v>
      </c>
      <c r="D559" s="5">
        <v>0</v>
      </c>
      <c r="E559" t="s">
        <v>39</v>
      </c>
    </row>
    <row r="560" spans="1:5" x14ac:dyDescent="0.25">
      <c r="A560">
        <v>11</v>
      </c>
      <c r="B560">
        <v>16</v>
      </c>
      <c r="C560" t="s">
        <v>423</v>
      </c>
      <c r="D560" s="5">
        <v>0</v>
      </c>
      <c r="E560" t="s">
        <v>424</v>
      </c>
    </row>
    <row r="561" spans="1:5" hidden="1" x14ac:dyDescent="0.25">
      <c r="A561">
        <v>11</v>
      </c>
      <c r="B561">
        <v>16</v>
      </c>
      <c r="C561" t="s">
        <v>39</v>
      </c>
      <c r="D561" s="5">
        <v>0</v>
      </c>
      <c r="E561" t="s">
        <v>39</v>
      </c>
    </row>
    <row r="562" spans="1:5" x14ac:dyDescent="0.25">
      <c r="A562">
        <v>11</v>
      </c>
      <c r="B562">
        <v>16</v>
      </c>
      <c r="C562" t="s">
        <v>425</v>
      </c>
      <c r="D562" s="5">
        <v>0</v>
      </c>
      <c r="E562" t="s">
        <v>426</v>
      </c>
    </row>
    <row r="563" spans="1:5" hidden="1" x14ac:dyDescent="0.25">
      <c r="A563">
        <v>11</v>
      </c>
      <c r="B563">
        <v>16</v>
      </c>
      <c r="C563" t="s">
        <v>39</v>
      </c>
      <c r="D563" s="5">
        <v>0</v>
      </c>
      <c r="E563" t="s">
        <v>39</v>
      </c>
    </row>
    <row r="564" spans="1:5" x14ac:dyDescent="0.25">
      <c r="A564">
        <v>11</v>
      </c>
      <c r="B564">
        <v>16</v>
      </c>
      <c r="C564" t="s">
        <v>427</v>
      </c>
      <c r="D564" s="5">
        <v>0</v>
      </c>
      <c r="E564" t="s">
        <v>428</v>
      </c>
    </row>
    <row r="565" spans="1:5" hidden="1" x14ac:dyDescent="0.25">
      <c r="A565">
        <v>11</v>
      </c>
      <c r="B565">
        <v>16</v>
      </c>
      <c r="C565" t="s">
        <v>39</v>
      </c>
      <c r="D565" s="5">
        <v>0</v>
      </c>
      <c r="E565" t="s">
        <v>39</v>
      </c>
    </row>
    <row r="566" spans="1:5" hidden="1" x14ac:dyDescent="0.25">
      <c r="A566">
        <v>11</v>
      </c>
      <c r="B566">
        <v>20</v>
      </c>
      <c r="C566" t="s">
        <v>39</v>
      </c>
      <c r="D566" s="5">
        <v>0</v>
      </c>
      <c r="E566" t="s">
        <v>39</v>
      </c>
    </row>
    <row r="567" spans="1:5" x14ac:dyDescent="0.25">
      <c r="A567">
        <v>11</v>
      </c>
      <c r="B567">
        <v>20</v>
      </c>
      <c r="C567" t="s">
        <v>429</v>
      </c>
      <c r="D567" s="5">
        <v>0</v>
      </c>
      <c r="E567" t="s">
        <v>430</v>
      </c>
    </row>
    <row r="568" spans="1:5" hidden="1" x14ac:dyDescent="0.25">
      <c r="A568">
        <v>11</v>
      </c>
      <c r="B568">
        <v>20</v>
      </c>
      <c r="C568" t="s">
        <v>39</v>
      </c>
      <c r="D568" s="5">
        <v>0</v>
      </c>
      <c r="E568" t="s">
        <v>39</v>
      </c>
    </row>
    <row r="569" spans="1:5" x14ac:dyDescent="0.25">
      <c r="A569">
        <v>11</v>
      </c>
      <c r="B569">
        <v>20</v>
      </c>
      <c r="C569" t="s">
        <v>431</v>
      </c>
      <c r="D569" s="5">
        <v>0</v>
      </c>
      <c r="E569" t="s">
        <v>432</v>
      </c>
    </row>
    <row r="570" spans="1:5" hidden="1" x14ac:dyDescent="0.25">
      <c r="A570">
        <v>11</v>
      </c>
      <c r="B570">
        <v>20</v>
      </c>
      <c r="C570" t="s">
        <v>39</v>
      </c>
      <c r="D570" s="5">
        <v>0</v>
      </c>
      <c r="E570" t="s">
        <v>39</v>
      </c>
    </row>
    <row r="571" spans="1:5" x14ac:dyDescent="0.25">
      <c r="A571">
        <v>11</v>
      </c>
      <c r="B571">
        <v>20</v>
      </c>
      <c r="C571" t="s">
        <v>433</v>
      </c>
      <c r="D571" s="5">
        <v>0</v>
      </c>
      <c r="E571" t="s">
        <v>2447</v>
      </c>
    </row>
    <row r="572" spans="1:5" hidden="1" x14ac:dyDescent="0.25">
      <c r="A572">
        <v>11</v>
      </c>
      <c r="B572">
        <v>20</v>
      </c>
      <c r="C572" t="s">
        <v>39</v>
      </c>
      <c r="D572" s="5">
        <v>0</v>
      </c>
      <c r="E572" t="s">
        <v>39</v>
      </c>
    </row>
    <row r="573" spans="1:5" x14ac:dyDescent="0.25">
      <c r="A573">
        <v>11</v>
      </c>
      <c r="B573">
        <v>20</v>
      </c>
      <c r="C573" t="s">
        <v>434</v>
      </c>
      <c r="D573" s="5">
        <v>0</v>
      </c>
      <c r="E573" t="s">
        <v>435</v>
      </c>
    </row>
    <row r="574" spans="1:5" x14ac:dyDescent="0.25">
      <c r="A574">
        <v>12</v>
      </c>
      <c r="B574">
        <v>1</v>
      </c>
      <c r="C574" t="s">
        <v>439</v>
      </c>
      <c r="D574" s="5">
        <v>0</v>
      </c>
      <c r="E574" t="s">
        <v>440</v>
      </c>
    </row>
    <row r="575" spans="1:5" hidden="1" x14ac:dyDescent="0.25">
      <c r="A575">
        <v>12</v>
      </c>
      <c r="B575">
        <v>1</v>
      </c>
      <c r="C575" t="s">
        <v>39</v>
      </c>
      <c r="D575" s="5">
        <v>0</v>
      </c>
      <c r="E575" t="s">
        <v>39</v>
      </c>
    </row>
    <row r="576" spans="1:5" x14ac:dyDescent="0.25">
      <c r="A576">
        <v>12</v>
      </c>
      <c r="B576">
        <v>1</v>
      </c>
      <c r="C576" t="s">
        <v>2448</v>
      </c>
      <c r="D576" s="5">
        <v>0</v>
      </c>
      <c r="E576" t="s">
        <v>441</v>
      </c>
    </row>
    <row r="577" spans="1:5" hidden="1" x14ac:dyDescent="0.25">
      <c r="A577">
        <v>12</v>
      </c>
      <c r="B577">
        <v>1</v>
      </c>
      <c r="C577" t="s">
        <v>39</v>
      </c>
      <c r="D577" s="5">
        <v>0</v>
      </c>
      <c r="E577" t="s">
        <v>39</v>
      </c>
    </row>
    <row r="578" spans="1:5" x14ac:dyDescent="0.25">
      <c r="A578">
        <v>12</v>
      </c>
      <c r="B578">
        <v>1</v>
      </c>
      <c r="C578" t="s">
        <v>442</v>
      </c>
      <c r="D578" s="5">
        <v>0</v>
      </c>
      <c r="E578" t="s">
        <v>2449</v>
      </c>
    </row>
    <row r="579" spans="1:5" hidden="1" x14ac:dyDescent="0.25">
      <c r="A579">
        <v>12</v>
      </c>
      <c r="B579">
        <v>1</v>
      </c>
      <c r="C579" t="s">
        <v>39</v>
      </c>
      <c r="D579" s="5">
        <v>0</v>
      </c>
      <c r="E579" t="s">
        <v>39</v>
      </c>
    </row>
    <row r="580" spans="1:5" hidden="1" x14ac:dyDescent="0.25">
      <c r="A580">
        <v>12</v>
      </c>
      <c r="B580">
        <v>4</v>
      </c>
      <c r="C580" t="s">
        <v>39</v>
      </c>
      <c r="D580" s="5">
        <v>0</v>
      </c>
      <c r="E580" t="s">
        <v>39</v>
      </c>
    </row>
    <row r="581" spans="1:5" x14ac:dyDescent="0.25">
      <c r="A581">
        <v>12</v>
      </c>
      <c r="B581">
        <v>4</v>
      </c>
      <c r="C581" t="s">
        <v>443</v>
      </c>
      <c r="D581" s="5">
        <v>0</v>
      </c>
      <c r="E581" t="s">
        <v>444</v>
      </c>
    </row>
    <row r="582" spans="1:5" hidden="1" x14ac:dyDescent="0.25">
      <c r="A582">
        <v>12</v>
      </c>
      <c r="B582">
        <v>4</v>
      </c>
      <c r="C582" t="s">
        <v>39</v>
      </c>
      <c r="D582" s="5">
        <v>0</v>
      </c>
      <c r="E582" t="s">
        <v>39</v>
      </c>
    </row>
    <row r="583" spans="1:5" x14ac:dyDescent="0.25">
      <c r="A583">
        <v>12</v>
      </c>
      <c r="B583">
        <v>4</v>
      </c>
      <c r="C583" t="s">
        <v>445</v>
      </c>
      <c r="D583" s="5">
        <v>0</v>
      </c>
      <c r="E583" t="s">
        <v>446</v>
      </c>
    </row>
    <row r="584" spans="1:5" hidden="1" x14ac:dyDescent="0.25">
      <c r="A584">
        <v>12</v>
      </c>
      <c r="B584">
        <v>4</v>
      </c>
      <c r="C584" t="s">
        <v>39</v>
      </c>
      <c r="D584" s="5">
        <v>0</v>
      </c>
      <c r="E584" t="s">
        <v>39</v>
      </c>
    </row>
    <row r="585" spans="1:5" x14ac:dyDescent="0.25">
      <c r="A585">
        <v>12</v>
      </c>
      <c r="B585">
        <v>4</v>
      </c>
      <c r="C585" t="s">
        <v>447</v>
      </c>
      <c r="D585" s="5">
        <v>0</v>
      </c>
      <c r="E585" t="s">
        <v>2450</v>
      </c>
    </row>
    <row r="586" spans="1:5" hidden="1" x14ac:dyDescent="0.25">
      <c r="A586">
        <v>12</v>
      </c>
      <c r="B586">
        <v>4</v>
      </c>
      <c r="C586" t="s">
        <v>39</v>
      </c>
      <c r="D586" s="5">
        <v>0</v>
      </c>
      <c r="E586" t="s">
        <v>39</v>
      </c>
    </row>
    <row r="587" spans="1:5" hidden="1" x14ac:dyDescent="0.25">
      <c r="A587">
        <v>12</v>
      </c>
      <c r="B587">
        <v>7</v>
      </c>
      <c r="C587" t="s">
        <v>39</v>
      </c>
      <c r="D587" s="5">
        <v>0</v>
      </c>
      <c r="E587" t="s">
        <v>39</v>
      </c>
    </row>
    <row r="588" spans="1:5" x14ac:dyDescent="0.25">
      <c r="A588">
        <v>12</v>
      </c>
      <c r="B588">
        <v>7</v>
      </c>
      <c r="C588" t="s">
        <v>448</v>
      </c>
      <c r="D588" s="5">
        <v>0</v>
      </c>
      <c r="E588" t="s">
        <v>449</v>
      </c>
    </row>
    <row r="589" spans="1:5" hidden="1" x14ac:dyDescent="0.25">
      <c r="A589">
        <v>12</v>
      </c>
      <c r="B589">
        <v>7</v>
      </c>
      <c r="C589" t="s">
        <v>39</v>
      </c>
      <c r="D589" s="5">
        <v>0</v>
      </c>
      <c r="E589" t="s">
        <v>39</v>
      </c>
    </row>
    <row r="590" spans="1:5" x14ac:dyDescent="0.25">
      <c r="A590">
        <v>12</v>
      </c>
      <c r="B590">
        <v>7</v>
      </c>
      <c r="C590" t="s">
        <v>450</v>
      </c>
      <c r="D590" s="5">
        <v>0</v>
      </c>
      <c r="E590" t="s">
        <v>451</v>
      </c>
    </row>
    <row r="591" spans="1:5" hidden="1" x14ac:dyDescent="0.25">
      <c r="A591">
        <v>12</v>
      </c>
      <c r="B591">
        <v>7</v>
      </c>
      <c r="C591" t="s">
        <v>39</v>
      </c>
      <c r="D591" s="5">
        <v>0</v>
      </c>
      <c r="E591" t="s">
        <v>39</v>
      </c>
    </row>
    <row r="592" spans="1:5" x14ac:dyDescent="0.25">
      <c r="A592">
        <v>12</v>
      </c>
      <c r="B592">
        <v>7</v>
      </c>
      <c r="C592" t="s">
        <v>452</v>
      </c>
      <c r="D592" s="5">
        <v>0</v>
      </c>
      <c r="E592" t="s">
        <v>453</v>
      </c>
    </row>
    <row r="593" spans="1:5" hidden="1" x14ac:dyDescent="0.25">
      <c r="A593">
        <v>12</v>
      </c>
      <c r="B593">
        <v>7</v>
      </c>
      <c r="C593" t="s">
        <v>39</v>
      </c>
      <c r="D593" s="5">
        <v>0</v>
      </c>
      <c r="E593" t="s">
        <v>39</v>
      </c>
    </row>
    <row r="594" spans="1:5" hidden="1" x14ac:dyDescent="0.25">
      <c r="A594">
        <v>12</v>
      </c>
      <c r="B594">
        <v>10</v>
      </c>
      <c r="C594" t="s">
        <v>39</v>
      </c>
      <c r="D594" s="5">
        <v>0</v>
      </c>
      <c r="E594" t="s">
        <v>39</v>
      </c>
    </row>
    <row r="595" spans="1:5" x14ac:dyDescent="0.25">
      <c r="A595">
        <v>12</v>
      </c>
      <c r="B595">
        <v>10</v>
      </c>
      <c r="C595" t="s">
        <v>454</v>
      </c>
      <c r="D595" s="5">
        <v>100</v>
      </c>
      <c r="E595" t="s">
        <v>455</v>
      </c>
    </row>
    <row r="596" spans="1:5" hidden="1" x14ac:dyDescent="0.25">
      <c r="A596">
        <v>12</v>
      </c>
      <c r="B596">
        <v>10</v>
      </c>
      <c r="C596" t="s">
        <v>39</v>
      </c>
      <c r="D596" s="5">
        <v>0</v>
      </c>
      <c r="E596" t="s">
        <v>39</v>
      </c>
    </row>
    <row r="597" spans="1:5" hidden="1" x14ac:dyDescent="0.25">
      <c r="A597">
        <v>12</v>
      </c>
      <c r="B597">
        <v>10</v>
      </c>
      <c r="C597" t="s">
        <v>39</v>
      </c>
      <c r="D597" s="5">
        <v>0</v>
      </c>
      <c r="E597" t="s">
        <v>39</v>
      </c>
    </row>
    <row r="598" spans="1:5" x14ac:dyDescent="0.25">
      <c r="A598">
        <v>12</v>
      </c>
      <c r="B598">
        <v>10</v>
      </c>
      <c r="C598" t="s">
        <v>456</v>
      </c>
      <c r="D598" s="5">
        <v>60</v>
      </c>
      <c r="E598" t="s">
        <v>457</v>
      </c>
    </row>
    <row r="599" spans="1:5" hidden="1" x14ac:dyDescent="0.25">
      <c r="A599">
        <v>12</v>
      </c>
      <c r="B599">
        <v>10</v>
      </c>
      <c r="C599" t="s">
        <v>39</v>
      </c>
      <c r="D599" s="5">
        <v>0</v>
      </c>
      <c r="E599" t="s">
        <v>39</v>
      </c>
    </row>
    <row r="600" spans="1:5" hidden="1" x14ac:dyDescent="0.25">
      <c r="A600">
        <v>12</v>
      </c>
      <c r="B600">
        <v>10</v>
      </c>
      <c r="C600" t="s">
        <v>39</v>
      </c>
      <c r="D600" s="5">
        <v>0</v>
      </c>
      <c r="E600" t="s">
        <v>39</v>
      </c>
    </row>
    <row r="601" spans="1:5" hidden="1" x14ac:dyDescent="0.25">
      <c r="A601">
        <v>12</v>
      </c>
      <c r="B601">
        <v>13</v>
      </c>
      <c r="C601" t="s">
        <v>39</v>
      </c>
      <c r="D601" s="5">
        <v>0</v>
      </c>
      <c r="E601" t="s">
        <v>39</v>
      </c>
    </row>
    <row r="602" spans="1:5" x14ac:dyDescent="0.25">
      <c r="A602">
        <v>12</v>
      </c>
      <c r="B602">
        <v>13</v>
      </c>
      <c r="C602" t="s">
        <v>458</v>
      </c>
      <c r="D602" s="5">
        <v>0</v>
      </c>
      <c r="E602" t="s">
        <v>475</v>
      </c>
    </row>
    <row r="603" spans="1:5" hidden="1" x14ac:dyDescent="0.25">
      <c r="A603">
        <v>12</v>
      </c>
      <c r="B603">
        <v>13</v>
      </c>
      <c r="C603" t="s">
        <v>39</v>
      </c>
      <c r="D603" s="5">
        <v>0</v>
      </c>
      <c r="E603" t="s">
        <v>39</v>
      </c>
    </row>
    <row r="604" spans="1:5" hidden="1" x14ac:dyDescent="0.25">
      <c r="A604">
        <v>12</v>
      </c>
      <c r="B604">
        <v>13</v>
      </c>
      <c r="C604" t="s">
        <v>39</v>
      </c>
      <c r="D604" s="5">
        <v>0</v>
      </c>
      <c r="E604" t="s">
        <v>39</v>
      </c>
    </row>
    <row r="605" spans="1:5" x14ac:dyDescent="0.25">
      <c r="A605">
        <v>12</v>
      </c>
      <c r="B605">
        <v>13</v>
      </c>
      <c r="C605" t="s">
        <v>459</v>
      </c>
      <c r="D605" s="5">
        <v>0</v>
      </c>
      <c r="E605" t="s">
        <v>460</v>
      </c>
    </row>
    <row r="606" spans="1:5" hidden="1" x14ac:dyDescent="0.25">
      <c r="A606">
        <v>12</v>
      </c>
      <c r="B606">
        <v>13</v>
      </c>
      <c r="C606" t="s">
        <v>39</v>
      </c>
      <c r="D606" s="5">
        <v>0</v>
      </c>
      <c r="E606" t="s">
        <v>39</v>
      </c>
    </row>
    <row r="607" spans="1:5" x14ac:dyDescent="0.25">
      <c r="A607">
        <v>12</v>
      </c>
      <c r="B607">
        <v>13</v>
      </c>
      <c r="C607" t="s">
        <v>461</v>
      </c>
      <c r="D607" s="5">
        <v>0</v>
      </c>
      <c r="E607" t="s">
        <v>462</v>
      </c>
    </row>
    <row r="608" spans="1:5" hidden="1" x14ac:dyDescent="0.25">
      <c r="A608">
        <v>12</v>
      </c>
      <c r="B608">
        <v>13</v>
      </c>
      <c r="C608" t="s">
        <v>39</v>
      </c>
      <c r="D608" s="5">
        <v>0</v>
      </c>
      <c r="E608" t="s">
        <v>39</v>
      </c>
    </row>
    <row r="609" spans="1:5" hidden="1" x14ac:dyDescent="0.25">
      <c r="A609">
        <v>12</v>
      </c>
      <c r="B609">
        <v>16</v>
      </c>
      <c r="C609" t="s">
        <v>39</v>
      </c>
      <c r="D609" s="5">
        <v>0</v>
      </c>
      <c r="E609" t="s">
        <v>39</v>
      </c>
    </row>
    <row r="610" spans="1:5" x14ac:dyDescent="0.25">
      <c r="A610">
        <v>12</v>
      </c>
      <c r="B610">
        <v>16</v>
      </c>
      <c r="C610" t="s">
        <v>463</v>
      </c>
      <c r="D610" s="5">
        <v>0</v>
      </c>
      <c r="E610" t="s">
        <v>464</v>
      </c>
    </row>
    <row r="611" spans="1:5" hidden="1" x14ac:dyDescent="0.25">
      <c r="A611">
        <v>12</v>
      </c>
      <c r="B611">
        <v>16</v>
      </c>
      <c r="C611" t="s">
        <v>39</v>
      </c>
      <c r="D611" s="5">
        <v>0</v>
      </c>
      <c r="E611" t="s">
        <v>39</v>
      </c>
    </row>
    <row r="612" spans="1:5" x14ac:dyDescent="0.25">
      <c r="A612">
        <v>12</v>
      </c>
      <c r="B612">
        <v>16</v>
      </c>
      <c r="C612" t="s">
        <v>465</v>
      </c>
      <c r="D612" s="5">
        <v>0</v>
      </c>
      <c r="E612" t="s">
        <v>466</v>
      </c>
    </row>
    <row r="613" spans="1:5" hidden="1" x14ac:dyDescent="0.25">
      <c r="A613">
        <v>12</v>
      </c>
      <c r="B613">
        <v>16</v>
      </c>
      <c r="C613" t="s">
        <v>39</v>
      </c>
      <c r="D613" s="5">
        <v>0</v>
      </c>
      <c r="E613" t="s">
        <v>39</v>
      </c>
    </row>
    <row r="614" spans="1:5" x14ac:dyDescent="0.25">
      <c r="A614">
        <v>12</v>
      </c>
      <c r="B614">
        <v>16</v>
      </c>
      <c r="C614" t="s">
        <v>467</v>
      </c>
      <c r="D614" s="5">
        <v>20</v>
      </c>
      <c r="E614" t="s">
        <v>476</v>
      </c>
    </row>
    <row r="615" spans="1:5" hidden="1" x14ac:dyDescent="0.25">
      <c r="A615">
        <v>12</v>
      </c>
      <c r="B615">
        <v>16</v>
      </c>
      <c r="C615" t="s">
        <v>39</v>
      </c>
      <c r="D615" s="5">
        <v>0</v>
      </c>
      <c r="E615" t="s">
        <v>39</v>
      </c>
    </row>
    <row r="616" spans="1:5" hidden="1" x14ac:dyDescent="0.25">
      <c r="A616">
        <v>12</v>
      </c>
      <c r="B616">
        <v>16</v>
      </c>
      <c r="C616" t="s">
        <v>39</v>
      </c>
      <c r="D616" s="5">
        <v>0</v>
      </c>
      <c r="E616" t="s">
        <v>39</v>
      </c>
    </row>
    <row r="617" spans="1:5" hidden="1" x14ac:dyDescent="0.25">
      <c r="A617">
        <v>12</v>
      </c>
      <c r="B617">
        <v>16</v>
      </c>
      <c r="C617" t="s">
        <v>39</v>
      </c>
      <c r="D617" s="5">
        <v>0</v>
      </c>
      <c r="E617" t="s">
        <v>39</v>
      </c>
    </row>
    <row r="618" spans="1:5" hidden="1" x14ac:dyDescent="0.25">
      <c r="A618">
        <v>12</v>
      </c>
      <c r="B618">
        <v>20</v>
      </c>
      <c r="C618" t="s">
        <v>39</v>
      </c>
      <c r="D618" s="5">
        <v>0</v>
      </c>
      <c r="E618" t="s">
        <v>39</v>
      </c>
    </row>
    <row r="619" spans="1:5" x14ac:dyDescent="0.25">
      <c r="A619">
        <v>12</v>
      </c>
      <c r="B619">
        <v>20</v>
      </c>
      <c r="C619" t="s">
        <v>468</v>
      </c>
      <c r="D619" s="5">
        <v>0</v>
      </c>
      <c r="E619" t="s">
        <v>2451</v>
      </c>
    </row>
    <row r="620" spans="1:5" hidden="1" x14ac:dyDescent="0.25">
      <c r="A620">
        <v>12</v>
      </c>
      <c r="B620">
        <v>20</v>
      </c>
      <c r="C620" t="s">
        <v>39</v>
      </c>
      <c r="D620" s="5">
        <v>0</v>
      </c>
      <c r="E620" t="s">
        <v>39</v>
      </c>
    </row>
    <row r="621" spans="1:5" x14ac:dyDescent="0.25">
      <c r="A621">
        <v>12</v>
      </c>
      <c r="B621">
        <v>20</v>
      </c>
      <c r="C621" t="s">
        <v>469</v>
      </c>
      <c r="D621" s="5">
        <v>0</v>
      </c>
      <c r="E621" t="s">
        <v>470</v>
      </c>
    </row>
    <row r="622" spans="1:5" hidden="1" x14ac:dyDescent="0.25">
      <c r="A622">
        <v>12</v>
      </c>
      <c r="B622">
        <v>20</v>
      </c>
      <c r="C622" t="s">
        <v>39</v>
      </c>
      <c r="D622" s="5">
        <v>0</v>
      </c>
      <c r="E622" t="s">
        <v>39</v>
      </c>
    </row>
    <row r="623" spans="1:5" x14ac:dyDescent="0.25">
      <c r="A623">
        <v>12</v>
      </c>
      <c r="B623">
        <v>20</v>
      </c>
      <c r="C623" t="s">
        <v>471</v>
      </c>
      <c r="D623" s="5">
        <v>60</v>
      </c>
      <c r="E623" t="s">
        <v>472</v>
      </c>
    </row>
    <row r="624" spans="1:5" hidden="1" x14ac:dyDescent="0.25">
      <c r="A624">
        <v>12</v>
      </c>
      <c r="B624">
        <v>20</v>
      </c>
      <c r="C624" t="s">
        <v>39</v>
      </c>
      <c r="D624" s="5">
        <v>0</v>
      </c>
      <c r="E624" t="s">
        <v>39</v>
      </c>
    </row>
    <row r="625" spans="1:5" hidden="1" x14ac:dyDescent="0.25">
      <c r="A625">
        <v>12</v>
      </c>
      <c r="B625">
        <v>20</v>
      </c>
      <c r="C625" t="s">
        <v>39</v>
      </c>
      <c r="D625" s="5">
        <v>0</v>
      </c>
      <c r="E625" t="s">
        <v>39</v>
      </c>
    </row>
    <row r="626" spans="1:5" x14ac:dyDescent="0.25">
      <c r="A626">
        <v>12</v>
      </c>
      <c r="B626">
        <v>20</v>
      </c>
      <c r="C626" t="s">
        <v>473</v>
      </c>
      <c r="D626" s="5">
        <v>90</v>
      </c>
      <c r="E626" t="s">
        <v>474</v>
      </c>
    </row>
    <row r="627" spans="1:5" x14ac:dyDescent="0.25">
      <c r="A627">
        <v>13</v>
      </c>
      <c r="B627">
        <v>1</v>
      </c>
      <c r="C627" t="s">
        <v>477</v>
      </c>
      <c r="D627" s="5">
        <v>0</v>
      </c>
      <c r="E627" t="s">
        <v>478</v>
      </c>
    </row>
    <row r="628" spans="1:5" hidden="1" x14ac:dyDescent="0.25">
      <c r="A628">
        <v>13</v>
      </c>
      <c r="B628">
        <v>1</v>
      </c>
      <c r="C628" t="s">
        <v>39</v>
      </c>
      <c r="D628" s="5">
        <v>0</v>
      </c>
      <c r="E628" t="s">
        <v>39</v>
      </c>
    </row>
    <row r="629" spans="1:5" x14ac:dyDescent="0.25">
      <c r="A629">
        <v>13</v>
      </c>
      <c r="B629">
        <v>1</v>
      </c>
      <c r="C629" t="s">
        <v>479</v>
      </c>
      <c r="D629" s="5">
        <v>0</v>
      </c>
      <c r="E629" t="s">
        <v>480</v>
      </c>
    </row>
    <row r="630" spans="1:5" hidden="1" x14ac:dyDescent="0.25">
      <c r="A630">
        <v>13</v>
      </c>
      <c r="B630">
        <v>1</v>
      </c>
      <c r="C630" t="s">
        <v>39</v>
      </c>
      <c r="D630" s="5">
        <v>0</v>
      </c>
      <c r="E630" t="s">
        <v>39</v>
      </c>
    </row>
    <row r="631" spans="1:5" x14ac:dyDescent="0.25">
      <c r="A631">
        <v>13</v>
      </c>
      <c r="B631">
        <v>1</v>
      </c>
      <c r="C631" t="s">
        <v>481</v>
      </c>
      <c r="D631" s="5">
        <v>0</v>
      </c>
      <c r="E631" t="s">
        <v>482</v>
      </c>
    </row>
    <row r="632" spans="1:5" hidden="1" x14ac:dyDescent="0.25">
      <c r="A632">
        <v>13</v>
      </c>
      <c r="B632">
        <v>1</v>
      </c>
      <c r="C632" t="s">
        <v>39</v>
      </c>
      <c r="D632" s="5">
        <v>0</v>
      </c>
      <c r="E632" t="s">
        <v>39</v>
      </c>
    </row>
    <row r="633" spans="1:5" hidden="1" x14ac:dyDescent="0.25">
      <c r="A633">
        <v>13</v>
      </c>
      <c r="B633">
        <v>4</v>
      </c>
      <c r="C633" t="s">
        <v>39</v>
      </c>
      <c r="D633" s="5">
        <v>0</v>
      </c>
      <c r="E633" t="s">
        <v>39</v>
      </c>
    </row>
    <row r="634" spans="1:5" x14ac:dyDescent="0.25">
      <c r="A634">
        <v>13</v>
      </c>
      <c r="B634">
        <v>4</v>
      </c>
      <c r="C634" t="s">
        <v>483</v>
      </c>
      <c r="D634" s="5">
        <v>0</v>
      </c>
      <c r="E634" t="s">
        <v>484</v>
      </c>
    </row>
    <row r="635" spans="1:5" hidden="1" x14ac:dyDescent="0.25">
      <c r="A635">
        <v>13</v>
      </c>
      <c r="B635">
        <v>4</v>
      </c>
      <c r="C635" t="s">
        <v>39</v>
      </c>
      <c r="D635" s="5">
        <v>0</v>
      </c>
      <c r="E635" t="s">
        <v>39</v>
      </c>
    </row>
    <row r="636" spans="1:5" x14ac:dyDescent="0.25">
      <c r="A636">
        <v>13</v>
      </c>
      <c r="B636">
        <v>4</v>
      </c>
      <c r="C636" t="s">
        <v>485</v>
      </c>
      <c r="D636" s="5">
        <v>0</v>
      </c>
      <c r="E636" t="s">
        <v>486</v>
      </c>
    </row>
    <row r="637" spans="1:5" hidden="1" x14ac:dyDescent="0.25">
      <c r="A637">
        <v>13</v>
      </c>
      <c r="B637">
        <v>4</v>
      </c>
      <c r="C637" t="s">
        <v>39</v>
      </c>
      <c r="D637" s="5">
        <v>0</v>
      </c>
      <c r="E637" t="s">
        <v>39</v>
      </c>
    </row>
    <row r="638" spans="1:5" x14ac:dyDescent="0.25">
      <c r="A638">
        <v>13</v>
      </c>
      <c r="B638">
        <v>4</v>
      </c>
      <c r="C638" t="s">
        <v>487</v>
      </c>
      <c r="D638" s="5">
        <v>0</v>
      </c>
      <c r="E638" t="s">
        <v>488</v>
      </c>
    </row>
    <row r="639" spans="1:5" hidden="1" x14ac:dyDescent="0.25">
      <c r="A639">
        <v>13</v>
      </c>
      <c r="B639">
        <v>4</v>
      </c>
      <c r="C639" t="s">
        <v>39</v>
      </c>
      <c r="D639" s="5">
        <v>0</v>
      </c>
      <c r="E639" t="s">
        <v>39</v>
      </c>
    </row>
    <row r="640" spans="1:5" hidden="1" x14ac:dyDescent="0.25">
      <c r="A640">
        <v>13</v>
      </c>
      <c r="B640">
        <v>7</v>
      </c>
      <c r="C640" t="s">
        <v>39</v>
      </c>
      <c r="D640" s="5">
        <v>0</v>
      </c>
      <c r="E640" t="s">
        <v>39</v>
      </c>
    </row>
    <row r="641" spans="1:5" x14ac:dyDescent="0.25">
      <c r="A641">
        <v>13</v>
      </c>
      <c r="B641">
        <v>7</v>
      </c>
      <c r="C641" t="s">
        <v>489</v>
      </c>
      <c r="D641" s="5">
        <v>0</v>
      </c>
      <c r="E641" t="s">
        <v>490</v>
      </c>
    </row>
    <row r="642" spans="1:5" hidden="1" x14ac:dyDescent="0.25">
      <c r="A642">
        <v>13</v>
      </c>
      <c r="B642">
        <v>7</v>
      </c>
      <c r="C642" t="s">
        <v>39</v>
      </c>
      <c r="D642" s="5">
        <v>0</v>
      </c>
      <c r="E642" t="s">
        <v>39</v>
      </c>
    </row>
    <row r="643" spans="1:5" x14ac:dyDescent="0.25">
      <c r="A643">
        <v>13</v>
      </c>
      <c r="B643">
        <v>7</v>
      </c>
      <c r="C643" t="s">
        <v>491</v>
      </c>
      <c r="D643" s="5">
        <v>0</v>
      </c>
      <c r="E643" t="s">
        <v>492</v>
      </c>
    </row>
    <row r="644" spans="1:5" hidden="1" x14ac:dyDescent="0.25">
      <c r="A644">
        <v>13</v>
      </c>
      <c r="B644">
        <v>7</v>
      </c>
      <c r="C644" t="s">
        <v>39</v>
      </c>
      <c r="D644" s="5">
        <v>0</v>
      </c>
      <c r="E644" t="s">
        <v>39</v>
      </c>
    </row>
    <row r="645" spans="1:5" x14ac:dyDescent="0.25">
      <c r="A645">
        <v>13</v>
      </c>
      <c r="B645">
        <v>7</v>
      </c>
      <c r="C645" t="s">
        <v>493</v>
      </c>
      <c r="D645" s="5">
        <v>0</v>
      </c>
      <c r="E645" t="s">
        <v>494</v>
      </c>
    </row>
    <row r="646" spans="1:5" hidden="1" x14ac:dyDescent="0.25">
      <c r="A646">
        <v>13</v>
      </c>
      <c r="B646">
        <v>7</v>
      </c>
      <c r="C646" t="s">
        <v>39</v>
      </c>
      <c r="D646" s="5">
        <v>0</v>
      </c>
      <c r="E646" t="s">
        <v>39</v>
      </c>
    </row>
    <row r="647" spans="1:5" hidden="1" x14ac:dyDescent="0.25">
      <c r="A647">
        <v>13</v>
      </c>
      <c r="B647">
        <v>10</v>
      </c>
      <c r="C647" t="s">
        <v>39</v>
      </c>
      <c r="D647" s="5">
        <v>0</v>
      </c>
      <c r="E647" t="s">
        <v>39</v>
      </c>
    </row>
    <row r="648" spans="1:5" x14ac:dyDescent="0.25">
      <c r="A648">
        <v>13</v>
      </c>
      <c r="B648">
        <v>10</v>
      </c>
      <c r="C648" t="s">
        <v>495</v>
      </c>
      <c r="D648" s="5">
        <v>120</v>
      </c>
      <c r="E648" t="s">
        <v>496</v>
      </c>
    </row>
    <row r="649" spans="1:5" hidden="1" x14ac:dyDescent="0.25">
      <c r="A649">
        <v>13</v>
      </c>
      <c r="B649">
        <v>10</v>
      </c>
      <c r="C649" t="s">
        <v>39</v>
      </c>
      <c r="D649" s="5">
        <v>0</v>
      </c>
      <c r="E649" t="s">
        <v>39</v>
      </c>
    </row>
    <row r="650" spans="1:5" hidden="1" x14ac:dyDescent="0.25">
      <c r="A650">
        <v>13</v>
      </c>
      <c r="B650">
        <v>10</v>
      </c>
      <c r="C650" t="s">
        <v>39</v>
      </c>
      <c r="D650" s="5">
        <v>0</v>
      </c>
      <c r="E650" t="s">
        <v>39</v>
      </c>
    </row>
    <row r="651" spans="1:5" x14ac:dyDescent="0.25">
      <c r="A651">
        <v>13</v>
      </c>
      <c r="B651">
        <v>10</v>
      </c>
      <c r="C651" t="s">
        <v>497</v>
      </c>
      <c r="D651" s="5">
        <v>75</v>
      </c>
      <c r="E651" t="s">
        <v>498</v>
      </c>
    </row>
    <row r="652" spans="1:5" hidden="1" x14ac:dyDescent="0.25">
      <c r="A652">
        <v>13</v>
      </c>
      <c r="B652">
        <v>10</v>
      </c>
      <c r="C652" t="s">
        <v>39</v>
      </c>
      <c r="D652" s="5">
        <v>0</v>
      </c>
      <c r="E652" t="s">
        <v>39</v>
      </c>
    </row>
    <row r="653" spans="1:5" hidden="1" x14ac:dyDescent="0.25">
      <c r="A653">
        <v>13</v>
      </c>
      <c r="B653">
        <v>10</v>
      </c>
      <c r="C653" t="s">
        <v>39</v>
      </c>
      <c r="D653" s="5">
        <v>0</v>
      </c>
      <c r="E653" t="s">
        <v>39</v>
      </c>
    </row>
    <row r="654" spans="1:5" hidden="1" x14ac:dyDescent="0.25">
      <c r="A654">
        <v>13</v>
      </c>
      <c r="B654">
        <v>13</v>
      </c>
      <c r="C654" t="s">
        <v>39</v>
      </c>
      <c r="D654" s="5">
        <v>0</v>
      </c>
      <c r="E654" t="s">
        <v>39</v>
      </c>
    </row>
    <row r="655" spans="1:5" x14ac:dyDescent="0.25">
      <c r="A655">
        <v>13</v>
      </c>
      <c r="B655">
        <v>13</v>
      </c>
      <c r="C655" t="s">
        <v>499</v>
      </c>
      <c r="D655" s="5">
        <v>0</v>
      </c>
      <c r="E655" t="s">
        <v>500</v>
      </c>
    </row>
    <row r="656" spans="1:5" hidden="1" x14ac:dyDescent="0.25">
      <c r="A656">
        <v>13</v>
      </c>
      <c r="B656">
        <v>13</v>
      </c>
      <c r="C656" t="s">
        <v>39</v>
      </c>
      <c r="D656" s="5">
        <v>0</v>
      </c>
      <c r="E656" t="s">
        <v>39</v>
      </c>
    </row>
    <row r="657" spans="1:5" x14ac:dyDescent="0.25">
      <c r="A657">
        <v>13</v>
      </c>
      <c r="B657">
        <v>13</v>
      </c>
      <c r="C657" t="s">
        <v>501</v>
      </c>
      <c r="D657" s="5">
        <v>0</v>
      </c>
      <c r="E657" t="s">
        <v>502</v>
      </c>
    </row>
    <row r="658" spans="1:5" hidden="1" x14ac:dyDescent="0.25">
      <c r="A658">
        <v>13</v>
      </c>
      <c r="B658">
        <v>13</v>
      </c>
      <c r="C658" t="s">
        <v>39</v>
      </c>
      <c r="D658" s="5">
        <v>0</v>
      </c>
      <c r="E658" t="s">
        <v>39</v>
      </c>
    </row>
    <row r="659" spans="1:5" x14ac:dyDescent="0.25">
      <c r="A659">
        <v>13</v>
      </c>
      <c r="B659">
        <v>13</v>
      </c>
      <c r="C659" t="s">
        <v>503</v>
      </c>
      <c r="D659" s="5">
        <v>0</v>
      </c>
      <c r="E659" t="s">
        <v>504</v>
      </c>
    </row>
    <row r="660" spans="1:5" hidden="1" x14ac:dyDescent="0.25">
      <c r="A660">
        <v>13</v>
      </c>
      <c r="B660">
        <v>13</v>
      </c>
      <c r="C660" t="s">
        <v>39</v>
      </c>
      <c r="D660" s="5">
        <v>0</v>
      </c>
      <c r="E660" t="s">
        <v>39</v>
      </c>
    </row>
    <row r="661" spans="1:5" hidden="1" x14ac:dyDescent="0.25">
      <c r="A661">
        <v>13</v>
      </c>
      <c r="B661">
        <v>16</v>
      </c>
      <c r="C661" t="s">
        <v>39</v>
      </c>
      <c r="D661" s="5">
        <v>0</v>
      </c>
      <c r="E661" t="s">
        <v>39</v>
      </c>
    </row>
    <row r="662" spans="1:5" x14ac:dyDescent="0.25">
      <c r="A662">
        <v>13</v>
      </c>
      <c r="B662">
        <v>16</v>
      </c>
      <c r="C662" t="s">
        <v>505</v>
      </c>
      <c r="D662" s="5">
        <v>0</v>
      </c>
      <c r="E662" t="s">
        <v>506</v>
      </c>
    </row>
    <row r="663" spans="1:5" hidden="1" x14ac:dyDescent="0.25">
      <c r="A663">
        <v>13</v>
      </c>
      <c r="B663">
        <v>16</v>
      </c>
      <c r="C663" t="s">
        <v>39</v>
      </c>
      <c r="D663" s="5">
        <v>0</v>
      </c>
      <c r="E663" t="s">
        <v>39</v>
      </c>
    </row>
    <row r="664" spans="1:5" x14ac:dyDescent="0.25">
      <c r="A664">
        <v>13</v>
      </c>
      <c r="B664">
        <v>16</v>
      </c>
      <c r="C664" t="s">
        <v>507</v>
      </c>
      <c r="D664" s="5">
        <v>0</v>
      </c>
      <c r="E664" t="s">
        <v>508</v>
      </c>
    </row>
    <row r="665" spans="1:5" hidden="1" x14ac:dyDescent="0.25">
      <c r="A665">
        <v>13</v>
      </c>
      <c r="B665">
        <v>16</v>
      </c>
      <c r="C665" t="s">
        <v>39</v>
      </c>
      <c r="D665" s="5">
        <v>0</v>
      </c>
      <c r="E665" t="s">
        <v>39</v>
      </c>
    </row>
    <row r="666" spans="1:5" x14ac:dyDescent="0.25">
      <c r="A666">
        <v>13</v>
      </c>
      <c r="B666">
        <v>16</v>
      </c>
      <c r="C666" t="s">
        <v>509</v>
      </c>
      <c r="D666" s="5">
        <v>20</v>
      </c>
      <c r="E666" t="s">
        <v>510</v>
      </c>
    </row>
    <row r="667" spans="1:5" hidden="1" x14ac:dyDescent="0.25">
      <c r="A667">
        <v>13</v>
      </c>
      <c r="B667">
        <v>16</v>
      </c>
      <c r="C667" t="s">
        <v>39</v>
      </c>
      <c r="D667" s="5">
        <v>0</v>
      </c>
      <c r="E667" t="s">
        <v>39</v>
      </c>
    </row>
    <row r="668" spans="1:5" hidden="1" x14ac:dyDescent="0.25">
      <c r="A668">
        <v>13</v>
      </c>
      <c r="B668">
        <v>16</v>
      </c>
      <c r="C668" t="s">
        <v>39</v>
      </c>
      <c r="D668" s="5">
        <v>0</v>
      </c>
      <c r="E668" t="s">
        <v>39</v>
      </c>
    </row>
    <row r="669" spans="1:5" hidden="1" x14ac:dyDescent="0.25">
      <c r="A669">
        <v>13</v>
      </c>
      <c r="B669">
        <v>20</v>
      </c>
      <c r="C669" t="s">
        <v>39</v>
      </c>
      <c r="D669" s="5">
        <v>0</v>
      </c>
      <c r="E669" t="s">
        <v>39</v>
      </c>
    </row>
    <row r="670" spans="1:5" x14ac:dyDescent="0.25">
      <c r="A670">
        <v>13</v>
      </c>
      <c r="B670">
        <v>20</v>
      </c>
      <c r="C670" t="s">
        <v>511</v>
      </c>
      <c r="D670" s="5">
        <v>0</v>
      </c>
      <c r="E670" t="s">
        <v>512</v>
      </c>
    </row>
    <row r="671" spans="1:5" hidden="1" x14ac:dyDescent="0.25">
      <c r="A671">
        <v>13</v>
      </c>
      <c r="B671">
        <v>20</v>
      </c>
      <c r="C671" t="s">
        <v>39</v>
      </c>
      <c r="D671" s="5">
        <v>0</v>
      </c>
      <c r="E671" t="s">
        <v>39</v>
      </c>
    </row>
    <row r="672" spans="1:5" x14ac:dyDescent="0.25">
      <c r="A672">
        <v>13</v>
      </c>
      <c r="B672">
        <v>20</v>
      </c>
      <c r="C672" t="s">
        <v>513</v>
      </c>
      <c r="D672" s="5">
        <v>0</v>
      </c>
      <c r="E672" t="s">
        <v>2452</v>
      </c>
    </row>
    <row r="673" spans="1:5" hidden="1" x14ac:dyDescent="0.25">
      <c r="A673">
        <v>13</v>
      </c>
      <c r="B673">
        <v>20</v>
      </c>
      <c r="C673" t="s">
        <v>39</v>
      </c>
      <c r="D673" s="5">
        <v>0</v>
      </c>
      <c r="E673" t="s">
        <v>39</v>
      </c>
    </row>
    <row r="674" spans="1:5" x14ac:dyDescent="0.25">
      <c r="A674">
        <v>13</v>
      </c>
      <c r="B674">
        <v>20</v>
      </c>
      <c r="C674" t="s">
        <v>514</v>
      </c>
      <c r="D674" s="5">
        <v>0</v>
      </c>
      <c r="E674" t="s">
        <v>515</v>
      </c>
    </row>
    <row r="675" spans="1:5" hidden="1" x14ac:dyDescent="0.25">
      <c r="A675">
        <v>13</v>
      </c>
      <c r="B675">
        <v>20</v>
      </c>
      <c r="C675" t="s">
        <v>39</v>
      </c>
      <c r="D675" s="5">
        <v>0</v>
      </c>
      <c r="E675" t="s">
        <v>39</v>
      </c>
    </row>
    <row r="676" spans="1:5" x14ac:dyDescent="0.25">
      <c r="A676">
        <v>13</v>
      </c>
      <c r="B676">
        <v>20</v>
      </c>
      <c r="C676" t="s">
        <v>245</v>
      </c>
      <c r="D676" s="5">
        <v>45</v>
      </c>
      <c r="E676" t="s">
        <v>246</v>
      </c>
    </row>
    <row r="677" spans="1:5" hidden="1" x14ac:dyDescent="0.25">
      <c r="A677">
        <v>13</v>
      </c>
      <c r="B677">
        <v>20</v>
      </c>
      <c r="C677" t="s">
        <v>39</v>
      </c>
      <c r="D677" s="5">
        <v>0</v>
      </c>
      <c r="E677" t="s">
        <v>39</v>
      </c>
    </row>
    <row r="678" spans="1:5" hidden="1" x14ac:dyDescent="0.25">
      <c r="A678">
        <v>13</v>
      </c>
      <c r="B678">
        <v>20</v>
      </c>
      <c r="C678" t="s">
        <v>39</v>
      </c>
      <c r="D678" s="5">
        <v>0</v>
      </c>
      <c r="E678" t="s">
        <v>39</v>
      </c>
    </row>
    <row r="679" spans="1:5" x14ac:dyDescent="0.25">
      <c r="A679">
        <v>13</v>
      </c>
      <c r="B679">
        <v>20</v>
      </c>
      <c r="C679" t="s">
        <v>193</v>
      </c>
      <c r="D679" s="5">
        <v>70</v>
      </c>
      <c r="E679" t="s">
        <v>194</v>
      </c>
    </row>
    <row r="680" spans="1:5" x14ac:dyDescent="0.25">
      <c r="A680">
        <v>14</v>
      </c>
      <c r="B680">
        <v>1</v>
      </c>
      <c r="C680" t="s">
        <v>516</v>
      </c>
      <c r="D680" s="5">
        <v>0</v>
      </c>
      <c r="E680" t="s">
        <v>551</v>
      </c>
    </row>
    <row r="681" spans="1:5" hidden="1" x14ac:dyDescent="0.25">
      <c r="A681">
        <v>14</v>
      </c>
      <c r="B681">
        <v>1</v>
      </c>
      <c r="C681" t="s">
        <v>39</v>
      </c>
      <c r="D681" s="4">
        <v>0</v>
      </c>
      <c r="E681" t="s">
        <v>39</v>
      </c>
    </row>
    <row r="682" spans="1:5" x14ac:dyDescent="0.25">
      <c r="A682">
        <v>14</v>
      </c>
      <c r="B682">
        <v>1</v>
      </c>
      <c r="C682" t="s">
        <v>86</v>
      </c>
      <c r="D682" s="5">
        <v>60</v>
      </c>
      <c r="E682" t="s">
        <v>552</v>
      </c>
    </row>
    <row r="683" spans="1:5" hidden="1" x14ac:dyDescent="0.25">
      <c r="A683">
        <v>14</v>
      </c>
      <c r="B683">
        <v>1</v>
      </c>
      <c r="C683" t="s">
        <v>39</v>
      </c>
      <c r="D683" s="4">
        <v>0</v>
      </c>
      <c r="E683" t="s">
        <v>39</v>
      </c>
    </row>
    <row r="684" spans="1:5" hidden="1" x14ac:dyDescent="0.25">
      <c r="A684">
        <v>14</v>
      </c>
      <c r="B684">
        <v>1</v>
      </c>
      <c r="C684" t="s">
        <v>39</v>
      </c>
      <c r="D684" s="4">
        <v>0</v>
      </c>
      <c r="E684" t="s">
        <v>39</v>
      </c>
    </row>
    <row r="685" spans="1:5" x14ac:dyDescent="0.25">
      <c r="A685">
        <v>14</v>
      </c>
      <c r="B685">
        <v>1</v>
      </c>
      <c r="C685" t="s">
        <v>517</v>
      </c>
      <c r="D685" s="5">
        <v>0</v>
      </c>
      <c r="E685" t="s">
        <v>518</v>
      </c>
    </row>
    <row r="686" spans="1:5" hidden="1" x14ac:dyDescent="0.25">
      <c r="A686">
        <v>14</v>
      </c>
      <c r="B686">
        <v>1</v>
      </c>
      <c r="C686" t="s">
        <v>39</v>
      </c>
      <c r="D686" s="4">
        <v>0</v>
      </c>
      <c r="E686" t="s">
        <v>39</v>
      </c>
    </row>
    <row r="687" spans="1:5" hidden="1" x14ac:dyDescent="0.25">
      <c r="A687">
        <v>14</v>
      </c>
      <c r="B687">
        <v>4</v>
      </c>
      <c r="C687" t="s">
        <v>39</v>
      </c>
      <c r="D687" s="4">
        <v>0</v>
      </c>
      <c r="E687" t="s">
        <v>39</v>
      </c>
    </row>
    <row r="688" spans="1:5" x14ac:dyDescent="0.25">
      <c r="A688">
        <v>14</v>
      </c>
      <c r="B688">
        <v>4</v>
      </c>
      <c r="C688" t="s">
        <v>519</v>
      </c>
      <c r="D688" s="5">
        <v>0</v>
      </c>
      <c r="E688" t="s">
        <v>520</v>
      </c>
    </row>
    <row r="689" spans="1:5" hidden="1" x14ac:dyDescent="0.25">
      <c r="A689">
        <v>14</v>
      </c>
      <c r="B689">
        <v>4</v>
      </c>
      <c r="C689" t="s">
        <v>39</v>
      </c>
      <c r="D689" s="4">
        <v>0</v>
      </c>
      <c r="E689" t="s">
        <v>39</v>
      </c>
    </row>
    <row r="690" spans="1:5" x14ac:dyDescent="0.25">
      <c r="A690">
        <v>14</v>
      </c>
      <c r="B690">
        <v>4</v>
      </c>
      <c r="C690" t="s">
        <v>521</v>
      </c>
      <c r="D690" s="5">
        <v>0</v>
      </c>
      <c r="E690" t="s">
        <v>2453</v>
      </c>
    </row>
    <row r="691" spans="1:5" hidden="1" x14ac:dyDescent="0.25">
      <c r="A691">
        <v>14</v>
      </c>
      <c r="B691">
        <v>4</v>
      </c>
      <c r="C691" t="s">
        <v>39</v>
      </c>
      <c r="D691" s="4">
        <v>0</v>
      </c>
      <c r="E691" t="s">
        <v>39</v>
      </c>
    </row>
    <row r="692" spans="1:5" x14ac:dyDescent="0.25">
      <c r="A692">
        <v>14</v>
      </c>
      <c r="B692">
        <v>4</v>
      </c>
      <c r="C692" t="s">
        <v>522</v>
      </c>
      <c r="D692" s="5">
        <v>0</v>
      </c>
      <c r="E692" t="s">
        <v>523</v>
      </c>
    </row>
    <row r="693" spans="1:5" hidden="1" x14ac:dyDescent="0.25">
      <c r="A693">
        <v>14</v>
      </c>
      <c r="B693">
        <v>4</v>
      </c>
      <c r="C693" t="s">
        <v>39</v>
      </c>
      <c r="D693" s="4">
        <v>0</v>
      </c>
      <c r="E693" t="s">
        <v>39</v>
      </c>
    </row>
    <row r="694" spans="1:5" hidden="1" x14ac:dyDescent="0.25">
      <c r="A694">
        <v>14</v>
      </c>
      <c r="B694">
        <v>7</v>
      </c>
      <c r="C694" t="s">
        <v>39</v>
      </c>
      <c r="D694" s="4">
        <v>0</v>
      </c>
      <c r="E694" t="s">
        <v>39</v>
      </c>
    </row>
    <row r="695" spans="1:5" x14ac:dyDescent="0.25">
      <c r="A695">
        <v>14</v>
      </c>
      <c r="B695">
        <v>7</v>
      </c>
      <c r="C695" t="s">
        <v>524</v>
      </c>
      <c r="D695" s="5">
        <v>0</v>
      </c>
      <c r="E695" t="s">
        <v>2454</v>
      </c>
    </row>
    <row r="696" spans="1:5" hidden="1" x14ac:dyDescent="0.25">
      <c r="A696">
        <v>14</v>
      </c>
      <c r="B696">
        <v>7</v>
      </c>
      <c r="C696" t="s">
        <v>39</v>
      </c>
      <c r="D696" s="4">
        <v>0</v>
      </c>
      <c r="E696" t="s">
        <v>39</v>
      </c>
    </row>
    <row r="697" spans="1:5" x14ac:dyDescent="0.25">
      <c r="A697">
        <v>14</v>
      </c>
      <c r="B697">
        <v>7</v>
      </c>
      <c r="C697" t="s">
        <v>525</v>
      </c>
      <c r="D697" s="5">
        <v>0</v>
      </c>
      <c r="E697" t="s">
        <v>526</v>
      </c>
    </row>
    <row r="698" spans="1:5" hidden="1" x14ac:dyDescent="0.25">
      <c r="A698">
        <v>14</v>
      </c>
      <c r="B698">
        <v>7</v>
      </c>
      <c r="C698" t="s">
        <v>39</v>
      </c>
      <c r="D698" s="4">
        <v>0</v>
      </c>
      <c r="E698" t="s">
        <v>39</v>
      </c>
    </row>
    <row r="699" spans="1:5" x14ac:dyDescent="0.25">
      <c r="A699">
        <v>14</v>
      </c>
      <c r="B699">
        <v>7</v>
      </c>
      <c r="C699" t="s">
        <v>527</v>
      </c>
      <c r="D699" s="5">
        <v>0</v>
      </c>
      <c r="E699" t="s">
        <v>528</v>
      </c>
    </row>
    <row r="700" spans="1:5" hidden="1" x14ac:dyDescent="0.25">
      <c r="A700">
        <v>14</v>
      </c>
      <c r="B700">
        <v>7</v>
      </c>
      <c r="C700" t="s">
        <v>39</v>
      </c>
      <c r="D700" s="4">
        <v>0</v>
      </c>
      <c r="E700" t="s">
        <v>39</v>
      </c>
    </row>
    <row r="701" spans="1:5" hidden="1" x14ac:dyDescent="0.25">
      <c r="A701">
        <v>14</v>
      </c>
      <c r="B701">
        <v>10</v>
      </c>
      <c r="C701" t="s">
        <v>39</v>
      </c>
      <c r="D701" s="4">
        <v>0</v>
      </c>
      <c r="E701" t="s">
        <v>39</v>
      </c>
    </row>
    <row r="702" spans="1:5" x14ac:dyDescent="0.25">
      <c r="A702">
        <v>14</v>
      </c>
      <c r="B702">
        <v>10</v>
      </c>
      <c r="C702" t="s">
        <v>529</v>
      </c>
      <c r="D702" s="5">
        <v>0</v>
      </c>
      <c r="E702" t="s">
        <v>530</v>
      </c>
    </row>
    <row r="703" spans="1:5" hidden="1" x14ac:dyDescent="0.25">
      <c r="A703">
        <v>14</v>
      </c>
      <c r="B703">
        <v>10</v>
      </c>
      <c r="C703" t="s">
        <v>39</v>
      </c>
      <c r="D703" s="4">
        <v>0</v>
      </c>
      <c r="E703" t="s">
        <v>39</v>
      </c>
    </row>
    <row r="704" spans="1:5" x14ac:dyDescent="0.25">
      <c r="A704">
        <v>14</v>
      </c>
      <c r="B704">
        <v>10</v>
      </c>
      <c r="C704" t="s">
        <v>531</v>
      </c>
      <c r="D704" s="5">
        <v>0</v>
      </c>
      <c r="E704" t="s">
        <v>532</v>
      </c>
    </row>
    <row r="705" spans="1:5" hidden="1" x14ac:dyDescent="0.25">
      <c r="A705">
        <v>14</v>
      </c>
      <c r="B705">
        <v>10</v>
      </c>
      <c r="C705" t="s">
        <v>39</v>
      </c>
      <c r="D705" s="4">
        <v>0</v>
      </c>
      <c r="E705" t="s">
        <v>39</v>
      </c>
    </row>
    <row r="706" spans="1:5" hidden="1" x14ac:dyDescent="0.25">
      <c r="A706">
        <v>14</v>
      </c>
      <c r="B706">
        <v>13</v>
      </c>
      <c r="C706" t="s">
        <v>39</v>
      </c>
      <c r="D706" s="4">
        <v>0</v>
      </c>
      <c r="E706" t="s">
        <v>39</v>
      </c>
    </row>
    <row r="707" spans="1:5" x14ac:dyDescent="0.25">
      <c r="A707">
        <v>14</v>
      </c>
      <c r="B707">
        <v>13</v>
      </c>
      <c r="C707" t="s">
        <v>533</v>
      </c>
      <c r="D707" s="5">
        <v>0</v>
      </c>
      <c r="E707" t="s">
        <v>534</v>
      </c>
    </row>
    <row r="708" spans="1:5" hidden="1" x14ac:dyDescent="0.25">
      <c r="A708">
        <v>14</v>
      </c>
      <c r="B708">
        <v>13</v>
      </c>
      <c r="C708" t="s">
        <v>39</v>
      </c>
      <c r="D708" s="4">
        <v>0</v>
      </c>
      <c r="E708" t="s">
        <v>39</v>
      </c>
    </row>
    <row r="709" spans="1:5" x14ac:dyDescent="0.25">
      <c r="A709">
        <v>14</v>
      </c>
      <c r="B709">
        <v>13</v>
      </c>
      <c r="C709" t="s">
        <v>535</v>
      </c>
      <c r="D709" s="5">
        <v>0</v>
      </c>
      <c r="E709" t="s">
        <v>536</v>
      </c>
    </row>
    <row r="710" spans="1:5" hidden="1" x14ac:dyDescent="0.25">
      <c r="A710">
        <v>14</v>
      </c>
      <c r="B710">
        <v>13</v>
      </c>
      <c r="C710" t="s">
        <v>39</v>
      </c>
      <c r="D710" s="4">
        <v>0</v>
      </c>
      <c r="E710" t="s">
        <v>39</v>
      </c>
    </row>
    <row r="711" spans="1:5" x14ac:dyDescent="0.25">
      <c r="A711">
        <v>14</v>
      </c>
      <c r="B711">
        <v>13</v>
      </c>
      <c r="C711" t="s">
        <v>537</v>
      </c>
      <c r="D711" s="5">
        <v>0</v>
      </c>
      <c r="E711" t="s">
        <v>2455</v>
      </c>
    </row>
    <row r="712" spans="1:5" hidden="1" x14ac:dyDescent="0.25">
      <c r="A712">
        <v>14</v>
      </c>
      <c r="B712">
        <v>13</v>
      </c>
      <c r="C712" t="s">
        <v>39</v>
      </c>
      <c r="D712" s="4">
        <v>0</v>
      </c>
      <c r="E712" t="s">
        <v>39</v>
      </c>
    </row>
    <row r="713" spans="1:5" hidden="1" x14ac:dyDescent="0.25">
      <c r="A713">
        <v>14</v>
      </c>
      <c r="B713">
        <v>16</v>
      </c>
      <c r="C713" t="s">
        <v>39</v>
      </c>
      <c r="D713" s="4">
        <v>0</v>
      </c>
      <c r="E713" t="s">
        <v>39</v>
      </c>
    </row>
    <row r="714" spans="1:5" x14ac:dyDescent="0.25">
      <c r="A714">
        <v>14</v>
      </c>
      <c r="B714">
        <v>16</v>
      </c>
      <c r="C714" t="s">
        <v>538</v>
      </c>
      <c r="D714" s="5">
        <v>0</v>
      </c>
      <c r="E714" t="s">
        <v>2456</v>
      </c>
    </row>
    <row r="715" spans="1:5" hidden="1" x14ac:dyDescent="0.25">
      <c r="A715">
        <v>14</v>
      </c>
      <c r="B715">
        <v>16</v>
      </c>
      <c r="C715" t="s">
        <v>39</v>
      </c>
      <c r="D715" s="4">
        <v>0</v>
      </c>
      <c r="E715" t="s">
        <v>39</v>
      </c>
    </row>
    <row r="716" spans="1:5" x14ac:dyDescent="0.25">
      <c r="A716">
        <v>14</v>
      </c>
      <c r="B716">
        <v>16</v>
      </c>
      <c r="C716" t="s">
        <v>539</v>
      </c>
      <c r="D716" s="5">
        <v>0</v>
      </c>
      <c r="E716" t="s">
        <v>540</v>
      </c>
    </row>
    <row r="717" spans="1:5" hidden="1" x14ac:dyDescent="0.25">
      <c r="A717">
        <v>14</v>
      </c>
      <c r="B717">
        <v>16</v>
      </c>
      <c r="C717" t="s">
        <v>39</v>
      </c>
      <c r="D717" s="4">
        <v>0</v>
      </c>
      <c r="E717" t="s">
        <v>39</v>
      </c>
    </row>
    <row r="718" spans="1:5" x14ac:dyDescent="0.25">
      <c r="A718">
        <v>14</v>
      </c>
      <c r="B718">
        <v>16</v>
      </c>
      <c r="C718" t="s">
        <v>541</v>
      </c>
      <c r="D718" s="5">
        <v>0</v>
      </c>
      <c r="E718" t="s">
        <v>542</v>
      </c>
    </row>
    <row r="719" spans="1:5" hidden="1" x14ac:dyDescent="0.25">
      <c r="A719">
        <v>14</v>
      </c>
      <c r="B719">
        <v>16</v>
      </c>
      <c r="C719" t="s">
        <v>39</v>
      </c>
      <c r="D719" s="4">
        <v>0</v>
      </c>
      <c r="E719" t="s">
        <v>39</v>
      </c>
    </row>
    <row r="720" spans="1:5" hidden="1" x14ac:dyDescent="0.25">
      <c r="A720">
        <v>14</v>
      </c>
      <c r="B720">
        <v>20</v>
      </c>
      <c r="C720" t="s">
        <v>39</v>
      </c>
      <c r="D720" s="4">
        <v>0</v>
      </c>
      <c r="E720" t="s">
        <v>39</v>
      </c>
    </row>
    <row r="721" spans="1:5" x14ac:dyDescent="0.25">
      <c r="A721">
        <v>14</v>
      </c>
      <c r="B721">
        <v>20</v>
      </c>
      <c r="C721" t="s">
        <v>543</v>
      </c>
      <c r="D721" s="5">
        <v>0</v>
      </c>
      <c r="E721" t="s">
        <v>544</v>
      </c>
    </row>
    <row r="722" spans="1:5" hidden="1" x14ac:dyDescent="0.25">
      <c r="A722">
        <v>14</v>
      </c>
      <c r="B722">
        <v>20</v>
      </c>
      <c r="C722" t="s">
        <v>39</v>
      </c>
      <c r="D722" s="4">
        <v>0</v>
      </c>
      <c r="E722" t="s">
        <v>39</v>
      </c>
    </row>
    <row r="723" spans="1:5" x14ac:dyDescent="0.25">
      <c r="A723">
        <v>14</v>
      </c>
      <c r="B723">
        <v>20</v>
      </c>
      <c r="C723" t="s">
        <v>545</v>
      </c>
      <c r="D723" s="5">
        <v>0</v>
      </c>
      <c r="E723" t="s">
        <v>546</v>
      </c>
    </row>
    <row r="724" spans="1:5" hidden="1" x14ac:dyDescent="0.25">
      <c r="A724">
        <v>14</v>
      </c>
      <c r="B724">
        <v>20</v>
      </c>
      <c r="C724" t="s">
        <v>39</v>
      </c>
      <c r="D724" s="4">
        <v>0</v>
      </c>
      <c r="E724" t="s">
        <v>39</v>
      </c>
    </row>
    <row r="725" spans="1:5" x14ac:dyDescent="0.25">
      <c r="A725">
        <v>14</v>
      </c>
      <c r="B725">
        <v>20</v>
      </c>
      <c r="C725" t="s">
        <v>547</v>
      </c>
      <c r="D725" s="5">
        <v>0</v>
      </c>
      <c r="E725" t="s">
        <v>548</v>
      </c>
    </row>
    <row r="726" spans="1:5" hidden="1" x14ac:dyDescent="0.25">
      <c r="A726">
        <v>14</v>
      </c>
      <c r="B726">
        <v>20</v>
      </c>
      <c r="C726" t="s">
        <v>39</v>
      </c>
      <c r="D726" s="4">
        <v>0</v>
      </c>
      <c r="E726" t="s">
        <v>39</v>
      </c>
    </row>
    <row r="727" spans="1:5" x14ac:dyDescent="0.25">
      <c r="A727">
        <v>14</v>
      </c>
      <c r="B727">
        <v>20</v>
      </c>
      <c r="C727" t="s">
        <v>549</v>
      </c>
      <c r="D727" s="5">
        <v>0</v>
      </c>
      <c r="E727" t="s">
        <v>550</v>
      </c>
    </row>
    <row r="728" spans="1:5" hidden="1" x14ac:dyDescent="0.25">
      <c r="A728">
        <v>15</v>
      </c>
      <c r="B728">
        <v>1</v>
      </c>
      <c r="C728" t="s">
        <v>39</v>
      </c>
      <c r="D728" s="4">
        <v>0</v>
      </c>
      <c r="E728" t="s">
        <v>39</v>
      </c>
    </row>
    <row r="729" spans="1:5" x14ac:dyDescent="0.25">
      <c r="A729">
        <v>15</v>
      </c>
      <c r="B729">
        <v>1</v>
      </c>
      <c r="C729" t="s">
        <v>553</v>
      </c>
      <c r="D729" s="5">
        <v>0</v>
      </c>
      <c r="E729" t="s">
        <v>554</v>
      </c>
    </row>
    <row r="730" spans="1:5" hidden="1" x14ac:dyDescent="0.25">
      <c r="A730">
        <v>15</v>
      </c>
      <c r="B730">
        <v>1</v>
      </c>
      <c r="C730" t="s">
        <v>39</v>
      </c>
      <c r="D730" s="4">
        <v>0</v>
      </c>
      <c r="E730" t="s">
        <v>39</v>
      </c>
    </row>
    <row r="731" spans="1:5" x14ac:dyDescent="0.25">
      <c r="A731">
        <v>15</v>
      </c>
      <c r="B731">
        <v>1</v>
      </c>
      <c r="C731" t="s">
        <v>555</v>
      </c>
      <c r="D731" s="5">
        <v>20</v>
      </c>
      <c r="E731" t="s">
        <v>584</v>
      </c>
    </row>
    <row r="732" spans="1:5" hidden="1" x14ac:dyDescent="0.25">
      <c r="A732">
        <v>15</v>
      </c>
      <c r="B732">
        <v>1</v>
      </c>
      <c r="C732" t="s">
        <v>39</v>
      </c>
      <c r="D732" s="4">
        <v>0</v>
      </c>
      <c r="E732" t="s">
        <v>39</v>
      </c>
    </row>
    <row r="733" spans="1:5" hidden="1" x14ac:dyDescent="0.25">
      <c r="A733">
        <v>15</v>
      </c>
      <c r="B733">
        <v>1</v>
      </c>
      <c r="C733" t="s">
        <v>39</v>
      </c>
      <c r="D733" s="4">
        <v>0</v>
      </c>
      <c r="E733" t="s">
        <v>39</v>
      </c>
    </row>
    <row r="734" spans="1:5" x14ac:dyDescent="0.25">
      <c r="A734">
        <v>15</v>
      </c>
      <c r="B734">
        <v>1</v>
      </c>
      <c r="C734" t="s">
        <v>556</v>
      </c>
      <c r="D734" s="5">
        <v>45</v>
      </c>
      <c r="E734" t="s">
        <v>557</v>
      </c>
    </row>
    <row r="735" spans="1:5" hidden="1" x14ac:dyDescent="0.25">
      <c r="A735">
        <v>15</v>
      </c>
      <c r="B735">
        <v>1</v>
      </c>
      <c r="C735" t="s">
        <v>39</v>
      </c>
      <c r="D735" s="4">
        <v>0</v>
      </c>
      <c r="E735" t="s">
        <v>39</v>
      </c>
    </row>
    <row r="736" spans="1:5" hidden="1" x14ac:dyDescent="0.25">
      <c r="A736">
        <v>15</v>
      </c>
      <c r="B736">
        <v>1</v>
      </c>
      <c r="C736" t="s">
        <v>39</v>
      </c>
      <c r="D736" s="4">
        <v>0</v>
      </c>
      <c r="E736" t="s">
        <v>39</v>
      </c>
    </row>
    <row r="737" spans="1:5" hidden="1" x14ac:dyDescent="0.25">
      <c r="A737">
        <v>15</v>
      </c>
      <c r="B737">
        <v>4</v>
      </c>
      <c r="C737" t="s">
        <v>39</v>
      </c>
      <c r="D737" s="4">
        <v>0</v>
      </c>
      <c r="E737" t="s">
        <v>39</v>
      </c>
    </row>
    <row r="738" spans="1:5" x14ac:dyDescent="0.25">
      <c r="A738">
        <v>15</v>
      </c>
      <c r="B738">
        <v>4</v>
      </c>
      <c r="C738" t="s">
        <v>2457</v>
      </c>
      <c r="D738" s="5">
        <v>0</v>
      </c>
      <c r="E738" t="s">
        <v>2458</v>
      </c>
    </row>
    <row r="739" spans="1:5" hidden="1" x14ac:dyDescent="0.25">
      <c r="A739">
        <v>15</v>
      </c>
      <c r="B739">
        <v>4</v>
      </c>
      <c r="C739" t="s">
        <v>39</v>
      </c>
      <c r="D739" s="4">
        <v>0</v>
      </c>
      <c r="E739" t="s">
        <v>39</v>
      </c>
    </row>
    <row r="740" spans="1:5" x14ac:dyDescent="0.25">
      <c r="A740">
        <v>15</v>
      </c>
      <c r="B740">
        <v>4</v>
      </c>
      <c r="C740" t="s">
        <v>558</v>
      </c>
      <c r="D740" s="5">
        <v>0</v>
      </c>
      <c r="E740" t="s">
        <v>559</v>
      </c>
    </row>
    <row r="741" spans="1:5" hidden="1" x14ac:dyDescent="0.25">
      <c r="A741">
        <v>15</v>
      </c>
      <c r="B741">
        <v>4</v>
      </c>
      <c r="C741" t="s">
        <v>39</v>
      </c>
      <c r="D741" s="4">
        <v>0</v>
      </c>
      <c r="E741" t="s">
        <v>39</v>
      </c>
    </row>
    <row r="742" spans="1:5" x14ac:dyDescent="0.25">
      <c r="A742">
        <v>15</v>
      </c>
      <c r="B742">
        <v>4</v>
      </c>
      <c r="C742" t="s">
        <v>560</v>
      </c>
      <c r="D742" s="5">
        <v>0</v>
      </c>
      <c r="E742" t="s">
        <v>2459</v>
      </c>
    </row>
    <row r="743" spans="1:5" hidden="1" x14ac:dyDescent="0.25">
      <c r="A743">
        <v>15</v>
      </c>
      <c r="B743">
        <v>4</v>
      </c>
      <c r="C743" t="s">
        <v>39</v>
      </c>
      <c r="D743" s="4">
        <v>0</v>
      </c>
      <c r="E743" t="s">
        <v>39</v>
      </c>
    </row>
    <row r="744" spans="1:5" hidden="1" x14ac:dyDescent="0.25">
      <c r="A744">
        <v>15</v>
      </c>
      <c r="B744">
        <v>7</v>
      </c>
      <c r="C744" t="s">
        <v>39</v>
      </c>
      <c r="D744" s="4">
        <v>0</v>
      </c>
      <c r="E744" t="s">
        <v>39</v>
      </c>
    </row>
    <row r="745" spans="1:5" x14ac:dyDescent="0.25">
      <c r="A745">
        <v>15</v>
      </c>
      <c r="B745">
        <v>7</v>
      </c>
      <c r="C745" t="s">
        <v>561</v>
      </c>
      <c r="D745" s="5">
        <v>0</v>
      </c>
      <c r="E745" t="s">
        <v>562</v>
      </c>
    </row>
    <row r="746" spans="1:5" hidden="1" x14ac:dyDescent="0.25">
      <c r="A746">
        <v>15</v>
      </c>
      <c r="B746">
        <v>7</v>
      </c>
      <c r="C746" t="s">
        <v>39</v>
      </c>
      <c r="D746" s="4">
        <v>0</v>
      </c>
      <c r="E746" t="s">
        <v>39</v>
      </c>
    </row>
    <row r="747" spans="1:5" x14ac:dyDescent="0.25">
      <c r="A747">
        <v>15</v>
      </c>
      <c r="B747">
        <v>7</v>
      </c>
      <c r="C747" t="s">
        <v>563</v>
      </c>
      <c r="D747" s="5">
        <v>0</v>
      </c>
      <c r="E747" t="s">
        <v>2460</v>
      </c>
    </row>
    <row r="748" spans="1:5" hidden="1" x14ac:dyDescent="0.25">
      <c r="A748">
        <v>15</v>
      </c>
      <c r="B748">
        <v>7</v>
      </c>
      <c r="C748" t="s">
        <v>39</v>
      </c>
      <c r="D748" s="4">
        <v>0</v>
      </c>
      <c r="E748" t="s">
        <v>39</v>
      </c>
    </row>
    <row r="749" spans="1:5" x14ac:dyDescent="0.25">
      <c r="A749">
        <v>15</v>
      </c>
      <c r="B749">
        <v>7</v>
      </c>
      <c r="C749" t="s">
        <v>564</v>
      </c>
      <c r="D749" s="5">
        <v>0</v>
      </c>
      <c r="E749" t="s">
        <v>2461</v>
      </c>
    </row>
    <row r="750" spans="1:5" hidden="1" x14ac:dyDescent="0.25">
      <c r="A750">
        <v>15</v>
      </c>
      <c r="B750">
        <v>7</v>
      </c>
      <c r="C750" t="s">
        <v>39</v>
      </c>
      <c r="D750" s="4">
        <v>0</v>
      </c>
      <c r="E750" t="s">
        <v>39</v>
      </c>
    </row>
    <row r="751" spans="1:5" hidden="1" x14ac:dyDescent="0.25">
      <c r="A751">
        <v>15</v>
      </c>
      <c r="B751">
        <v>10</v>
      </c>
      <c r="C751" t="s">
        <v>39</v>
      </c>
      <c r="D751" s="4">
        <v>0</v>
      </c>
      <c r="E751" t="s">
        <v>39</v>
      </c>
    </row>
    <row r="752" spans="1:5" x14ac:dyDescent="0.25">
      <c r="A752">
        <v>15</v>
      </c>
      <c r="B752">
        <v>10</v>
      </c>
      <c r="C752" t="s">
        <v>565</v>
      </c>
      <c r="D752" s="5">
        <v>0</v>
      </c>
      <c r="E752" t="s">
        <v>566</v>
      </c>
    </row>
    <row r="753" spans="1:5" hidden="1" x14ac:dyDescent="0.25">
      <c r="A753">
        <v>15</v>
      </c>
      <c r="B753">
        <v>10</v>
      </c>
      <c r="C753" t="s">
        <v>39</v>
      </c>
      <c r="D753" s="4">
        <v>0</v>
      </c>
      <c r="E753" t="s">
        <v>39</v>
      </c>
    </row>
    <row r="754" spans="1:5" x14ac:dyDescent="0.25">
      <c r="A754">
        <v>15</v>
      </c>
      <c r="B754">
        <v>10</v>
      </c>
      <c r="C754" t="s">
        <v>567</v>
      </c>
      <c r="D754" s="5">
        <v>0</v>
      </c>
      <c r="E754" t="s">
        <v>568</v>
      </c>
    </row>
    <row r="755" spans="1:5" hidden="1" x14ac:dyDescent="0.25">
      <c r="A755">
        <v>15</v>
      </c>
      <c r="B755">
        <v>10</v>
      </c>
      <c r="C755" t="s">
        <v>39</v>
      </c>
      <c r="D755" s="4">
        <v>0</v>
      </c>
      <c r="E755" t="s">
        <v>39</v>
      </c>
    </row>
    <row r="756" spans="1:5" hidden="1" x14ac:dyDescent="0.25">
      <c r="A756">
        <v>15</v>
      </c>
      <c r="B756">
        <v>13</v>
      </c>
      <c r="C756" t="s">
        <v>39</v>
      </c>
      <c r="D756" s="4">
        <v>0</v>
      </c>
      <c r="E756" t="s">
        <v>39</v>
      </c>
    </row>
    <row r="757" spans="1:5" x14ac:dyDescent="0.25">
      <c r="A757">
        <v>15</v>
      </c>
      <c r="B757">
        <v>13</v>
      </c>
      <c r="C757" t="s">
        <v>569</v>
      </c>
      <c r="D757" s="5">
        <v>0</v>
      </c>
      <c r="E757" t="s">
        <v>570</v>
      </c>
    </row>
    <row r="758" spans="1:5" hidden="1" x14ac:dyDescent="0.25">
      <c r="A758">
        <v>15</v>
      </c>
      <c r="B758">
        <v>13</v>
      </c>
      <c r="C758" t="s">
        <v>39</v>
      </c>
      <c r="D758" s="4">
        <v>0</v>
      </c>
      <c r="E758" t="s">
        <v>39</v>
      </c>
    </row>
    <row r="759" spans="1:5" x14ac:dyDescent="0.25">
      <c r="A759">
        <v>15</v>
      </c>
      <c r="B759">
        <v>13</v>
      </c>
      <c r="C759" t="s">
        <v>571</v>
      </c>
      <c r="D759" s="5">
        <v>0</v>
      </c>
      <c r="E759" t="s">
        <v>572</v>
      </c>
    </row>
    <row r="760" spans="1:5" hidden="1" x14ac:dyDescent="0.25">
      <c r="A760">
        <v>15</v>
      </c>
      <c r="B760">
        <v>13</v>
      </c>
      <c r="C760" t="s">
        <v>39</v>
      </c>
      <c r="D760" s="4">
        <v>0</v>
      </c>
      <c r="E760" t="s">
        <v>39</v>
      </c>
    </row>
    <row r="761" spans="1:5" x14ac:dyDescent="0.25">
      <c r="A761">
        <v>15</v>
      </c>
      <c r="B761">
        <v>13</v>
      </c>
      <c r="C761" t="s">
        <v>573</v>
      </c>
      <c r="D761" s="5">
        <v>0</v>
      </c>
      <c r="E761" t="s">
        <v>574</v>
      </c>
    </row>
    <row r="762" spans="1:5" hidden="1" x14ac:dyDescent="0.25">
      <c r="A762">
        <v>15</v>
      </c>
      <c r="B762">
        <v>13</v>
      </c>
      <c r="C762" t="s">
        <v>39</v>
      </c>
      <c r="D762" s="4">
        <v>0</v>
      </c>
      <c r="E762" t="s">
        <v>39</v>
      </c>
    </row>
    <row r="763" spans="1:5" hidden="1" x14ac:dyDescent="0.25">
      <c r="A763">
        <v>15</v>
      </c>
      <c r="B763">
        <v>16</v>
      </c>
      <c r="C763" t="s">
        <v>39</v>
      </c>
      <c r="D763" s="4">
        <v>0</v>
      </c>
      <c r="E763" t="s">
        <v>39</v>
      </c>
    </row>
    <row r="764" spans="1:5" x14ac:dyDescent="0.25">
      <c r="A764">
        <v>15</v>
      </c>
      <c r="B764">
        <v>16</v>
      </c>
      <c r="C764" t="s">
        <v>575</v>
      </c>
      <c r="D764" s="5">
        <v>0</v>
      </c>
      <c r="E764" t="s">
        <v>576</v>
      </c>
    </row>
    <row r="765" spans="1:5" hidden="1" x14ac:dyDescent="0.25">
      <c r="A765">
        <v>15</v>
      </c>
      <c r="B765">
        <v>16</v>
      </c>
      <c r="C765" t="s">
        <v>39</v>
      </c>
      <c r="D765" s="4">
        <v>0</v>
      </c>
      <c r="E765" t="s">
        <v>39</v>
      </c>
    </row>
    <row r="766" spans="1:5" x14ac:dyDescent="0.25">
      <c r="A766">
        <v>15</v>
      </c>
      <c r="B766">
        <v>16</v>
      </c>
      <c r="C766" t="s">
        <v>577</v>
      </c>
      <c r="D766" s="5">
        <v>0</v>
      </c>
      <c r="E766" t="s">
        <v>2462</v>
      </c>
    </row>
    <row r="767" spans="1:5" hidden="1" x14ac:dyDescent="0.25">
      <c r="A767">
        <v>15</v>
      </c>
      <c r="B767">
        <v>16</v>
      </c>
      <c r="C767" t="s">
        <v>39</v>
      </c>
      <c r="D767" s="4">
        <v>0</v>
      </c>
      <c r="E767" t="s">
        <v>39</v>
      </c>
    </row>
    <row r="768" spans="1:5" x14ac:dyDescent="0.25">
      <c r="A768">
        <v>15</v>
      </c>
      <c r="B768">
        <v>16</v>
      </c>
      <c r="C768" t="s">
        <v>578</v>
      </c>
      <c r="D768" s="5">
        <v>0</v>
      </c>
      <c r="E768" t="s">
        <v>2463</v>
      </c>
    </row>
    <row r="769" spans="1:5" hidden="1" x14ac:dyDescent="0.25">
      <c r="A769">
        <v>15</v>
      </c>
      <c r="B769">
        <v>16</v>
      </c>
      <c r="C769" t="s">
        <v>39</v>
      </c>
      <c r="D769" s="4">
        <v>0</v>
      </c>
      <c r="E769" t="s">
        <v>39</v>
      </c>
    </row>
    <row r="770" spans="1:5" hidden="1" x14ac:dyDescent="0.25">
      <c r="A770">
        <v>15</v>
      </c>
      <c r="B770">
        <v>20</v>
      </c>
      <c r="C770" t="s">
        <v>39</v>
      </c>
      <c r="D770" s="4">
        <v>0</v>
      </c>
      <c r="E770" t="s">
        <v>39</v>
      </c>
    </row>
    <row r="771" spans="1:5" x14ac:dyDescent="0.25">
      <c r="A771">
        <v>15</v>
      </c>
      <c r="B771">
        <v>20</v>
      </c>
      <c r="C771" t="s">
        <v>579</v>
      </c>
      <c r="D771" s="5">
        <v>0</v>
      </c>
      <c r="E771" t="s">
        <v>580</v>
      </c>
    </row>
    <row r="772" spans="1:5" hidden="1" x14ac:dyDescent="0.25">
      <c r="A772">
        <v>15</v>
      </c>
      <c r="B772">
        <v>20</v>
      </c>
      <c r="C772" t="s">
        <v>39</v>
      </c>
      <c r="D772" s="4">
        <v>0</v>
      </c>
      <c r="E772" t="s">
        <v>39</v>
      </c>
    </row>
    <row r="773" spans="1:5" x14ac:dyDescent="0.25">
      <c r="A773">
        <v>15</v>
      </c>
      <c r="B773">
        <v>20</v>
      </c>
      <c r="C773" t="s">
        <v>581</v>
      </c>
      <c r="D773" s="5">
        <v>0</v>
      </c>
      <c r="E773" t="s">
        <v>2464</v>
      </c>
    </row>
    <row r="774" spans="1:5" hidden="1" x14ac:dyDescent="0.25">
      <c r="A774">
        <v>15</v>
      </c>
      <c r="B774">
        <v>20</v>
      </c>
      <c r="C774" t="s">
        <v>39</v>
      </c>
      <c r="D774" s="4">
        <v>0</v>
      </c>
      <c r="E774" t="s">
        <v>39</v>
      </c>
    </row>
    <row r="775" spans="1:5" x14ac:dyDescent="0.25">
      <c r="A775">
        <v>15</v>
      </c>
      <c r="B775">
        <v>20</v>
      </c>
      <c r="C775" t="s">
        <v>582</v>
      </c>
      <c r="D775" s="5">
        <v>0</v>
      </c>
      <c r="E775" t="s">
        <v>583</v>
      </c>
    </row>
    <row r="776" spans="1:5" x14ac:dyDescent="0.25">
      <c r="A776">
        <v>16</v>
      </c>
      <c r="B776">
        <v>1</v>
      </c>
      <c r="C776" t="s">
        <v>585</v>
      </c>
      <c r="D776" s="5">
        <v>0</v>
      </c>
      <c r="E776" t="s">
        <v>586</v>
      </c>
    </row>
    <row r="777" spans="1:5" hidden="1" x14ac:dyDescent="0.25">
      <c r="A777">
        <v>16</v>
      </c>
      <c r="B777" t="s">
        <v>39</v>
      </c>
      <c r="C777" t="s">
        <v>39</v>
      </c>
      <c r="D777" s="4">
        <v>0</v>
      </c>
      <c r="E777" t="s">
        <v>39</v>
      </c>
    </row>
    <row r="778" spans="1:5" x14ac:dyDescent="0.25">
      <c r="A778">
        <v>16</v>
      </c>
      <c r="B778">
        <v>1</v>
      </c>
      <c r="C778" t="s">
        <v>587</v>
      </c>
      <c r="D778" s="5">
        <v>0</v>
      </c>
      <c r="E778" t="s">
        <v>588</v>
      </c>
    </row>
    <row r="779" spans="1:5" hidden="1" x14ac:dyDescent="0.25">
      <c r="A779">
        <v>16</v>
      </c>
      <c r="B779" t="s">
        <v>39</v>
      </c>
      <c r="C779" t="s">
        <v>39</v>
      </c>
      <c r="D779" s="4">
        <v>0</v>
      </c>
      <c r="E779" t="s">
        <v>39</v>
      </c>
    </row>
    <row r="780" spans="1:5" x14ac:dyDescent="0.25">
      <c r="A780">
        <v>16</v>
      </c>
      <c r="B780">
        <v>1</v>
      </c>
      <c r="C780" t="s">
        <v>589</v>
      </c>
      <c r="D780" s="5">
        <v>0</v>
      </c>
      <c r="E780" t="s">
        <v>590</v>
      </c>
    </row>
    <row r="781" spans="1:5" hidden="1" x14ac:dyDescent="0.25">
      <c r="A781">
        <v>16</v>
      </c>
      <c r="B781" t="s">
        <v>39</v>
      </c>
      <c r="C781" t="s">
        <v>39</v>
      </c>
      <c r="D781" s="4">
        <v>0</v>
      </c>
      <c r="E781" t="s">
        <v>39</v>
      </c>
    </row>
    <row r="782" spans="1:5" x14ac:dyDescent="0.25">
      <c r="A782">
        <v>16</v>
      </c>
      <c r="B782">
        <v>1</v>
      </c>
      <c r="C782" t="s">
        <v>51</v>
      </c>
      <c r="D782" s="5">
        <v>0</v>
      </c>
      <c r="E782" t="s">
        <v>627</v>
      </c>
    </row>
    <row r="783" spans="1:5" hidden="1" x14ac:dyDescent="0.25">
      <c r="A783">
        <v>16</v>
      </c>
      <c r="B783" t="s">
        <v>39</v>
      </c>
      <c r="C783" t="s">
        <v>39</v>
      </c>
      <c r="D783" s="4">
        <v>0</v>
      </c>
      <c r="E783" t="s">
        <v>39</v>
      </c>
    </row>
    <row r="784" spans="1:5" hidden="1" x14ac:dyDescent="0.25">
      <c r="A784">
        <v>16</v>
      </c>
      <c r="B784" t="s">
        <v>39</v>
      </c>
      <c r="C784" t="s">
        <v>39</v>
      </c>
      <c r="D784" s="4">
        <v>0</v>
      </c>
    </row>
    <row r="785" spans="1:5" hidden="1" x14ac:dyDescent="0.25">
      <c r="A785">
        <v>16</v>
      </c>
      <c r="B785">
        <v>4</v>
      </c>
      <c r="C785" t="s">
        <v>39</v>
      </c>
      <c r="D785" s="4">
        <v>0</v>
      </c>
      <c r="E785" t="s">
        <v>39</v>
      </c>
    </row>
    <row r="786" spans="1:5" x14ac:dyDescent="0.25">
      <c r="A786">
        <v>16</v>
      </c>
      <c r="B786">
        <v>4</v>
      </c>
      <c r="C786" t="s">
        <v>591</v>
      </c>
      <c r="D786" s="5">
        <v>0</v>
      </c>
      <c r="E786" t="s">
        <v>665</v>
      </c>
    </row>
    <row r="787" spans="1:5" hidden="1" x14ac:dyDescent="0.25">
      <c r="A787">
        <v>16</v>
      </c>
      <c r="B787">
        <v>4</v>
      </c>
      <c r="C787" t="s">
        <v>39</v>
      </c>
      <c r="D787" s="4">
        <v>0</v>
      </c>
      <c r="E787" t="s">
        <v>39</v>
      </c>
    </row>
    <row r="788" spans="1:5" hidden="1" x14ac:dyDescent="0.25">
      <c r="A788">
        <v>16</v>
      </c>
      <c r="B788">
        <v>4</v>
      </c>
      <c r="C788" t="s">
        <v>39</v>
      </c>
      <c r="D788" s="4">
        <v>0</v>
      </c>
      <c r="E788" t="s">
        <v>39</v>
      </c>
    </row>
    <row r="789" spans="1:5" x14ac:dyDescent="0.25">
      <c r="A789">
        <v>16</v>
      </c>
      <c r="B789">
        <v>4</v>
      </c>
      <c r="C789" t="s">
        <v>592</v>
      </c>
      <c r="D789" s="5">
        <v>0</v>
      </c>
      <c r="E789" t="s">
        <v>2465</v>
      </c>
    </row>
    <row r="790" spans="1:5" hidden="1" x14ac:dyDescent="0.25">
      <c r="A790">
        <v>16</v>
      </c>
      <c r="B790">
        <v>4</v>
      </c>
      <c r="C790" t="s">
        <v>39</v>
      </c>
      <c r="D790" s="4">
        <v>0</v>
      </c>
      <c r="E790" t="s">
        <v>39</v>
      </c>
    </row>
    <row r="791" spans="1:5" x14ac:dyDescent="0.25">
      <c r="A791">
        <v>16</v>
      </c>
      <c r="B791">
        <v>4</v>
      </c>
      <c r="C791" t="s">
        <v>593</v>
      </c>
      <c r="D791" s="5">
        <v>0</v>
      </c>
      <c r="E791" t="s">
        <v>594</v>
      </c>
    </row>
    <row r="792" spans="1:5" hidden="1" x14ac:dyDescent="0.25">
      <c r="A792">
        <v>16</v>
      </c>
      <c r="B792">
        <v>4</v>
      </c>
      <c r="C792" t="s">
        <v>39</v>
      </c>
      <c r="D792" s="4">
        <v>0</v>
      </c>
      <c r="E792" t="s">
        <v>39</v>
      </c>
    </row>
    <row r="793" spans="1:5" x14ac:dyDescent="0.25">
      <c r="A793">
        <v>16</v>
      </c>
      <c r="B793">
        <v>4</v>
      </c>
      <c r="C793" t="s">
        <v>595</v>
      </c>
      <c r="D793" s="5">
        <v>0</v>
      </c>
      <c r="E793" t="s">
        <v>596</v>
      </c>
    </row>
    <row r="794" spans="1:5" hidden="1" x14ac:dyDescent="0.25">
      <c r="A794">
        <v>16</v>
      </c>
      <c r="B794">
        <v>4</v>
      </c>
      <c r="C794" t="s">
        <v>39</v>
      </c>
      <c r="D794" s="4">
        <v>0</v>
      </c>
      <c r="E794" t="s">
        <v>39</v>
      </c>
    </row>
    <row r="795" spans="1:5" hidden="1" x14ac:dyDescent="0.25">
      <c r="A795">
        <v>16</v>
      </c>
      <c r="B795">
        <v>7</v>
      </c>
      <c r="C795" t="s">
        <v>39</v>
      </c>
      <c r="D795" s="4">
        <v>0</v>
      </c>
      <c r="E795" t="s">
        <v>39</v>
      </c>
    </row>
    <row r="796" spans="1:5" x14ac:dyDescent="0.25">
      <c r="A796">
        <v>16</v>
      </c>
      <c r="B796">
        <v>7</v>
      </c>
      <c r="C796" t="s">
        <v>597</v>
      </c>
      <c r="D796" s="5">
        <v>0</v>
      </c>
      <c r="E796" t="s">
        <v>598</v>
      </c>
    </row>
    <row r="797" spans="1:5" hidden="1" x14ac:dyDescent="0.25">
      <c r="A797">
        <v>16</v>
      </c>
      <c r="B797">
        <v>7</v>
      </c>
      <c r="C797" t="s">
        <v>39</v>
      </c>
      <c r="D797" s="4">
        <v>0</v>
      </c>
      <c r="E797" t="s">
        <v>39</v>
      </c>
    </row>
    <row r="798" spans="1:5" x14ac:dyDescent="0.25">
      <c r="A798">
        <v>16</v>
      </c>
      <c r="B798">
        <v>7</v>
      </c>
      <c r="C798" t="s">
        <v>599</v>
      </c>
      <c r="D798" s="5">
        <v>0</v>
      </c>
      <c r="E798" t="s">
        <v>600</v>
      </c>
    </row>
    <row r="799" spans="1:5" hidden="1" x14ac:dyDescent="0.25">
      <c r="A799">
        <v>16</v>
      </c>
      <c r="B799">
        <v>7</v>
      </c>
      <c r="C799" t="s">
        <v>39</v>
      </c>
      <c r="D799" s="4">
        <v>0</v>
      </c>
      <c r="E799" t="s">
        <v>39</v>
      </c>
    </row>
    <row r="800" spans="1:5" x14ac:dyDescent="0.25">
      <c r="A800">
        <v>16</v>
      </c>
      <c r="B800">
        <v>7</v>
      </c>
      <c r="C800" t="s">
        <v>601</v>
      </c>
      <c r="D800" s="5">
        <v>0</v>
      </c>
      <c r="E800" t="s">
        <v>602</v>
      </c>
    </row>
    <row r="801" spans="1:5" hidden="1" x14ac:dyDescent="0.25">
      <c r="A801">
        <v>16</v>
      </c>
      <c r="B801">
        <v>7</v>
      </c>
      <c r="C801" t="s">
        <v>39</v>
      </c>
      <c r="D801" s="4">
        <v>0</v>
      </c>
      <c r="E801" t="s">
        <v>39</v>
      </c>
    </row>
    <row r="802" spans="1:5" hidden="1" x14ac:dyDescent="0.25">
      <c r="A802">
        <v>16</v>
      </c>
      <c r="B802">
        <v>10</v>
      </c>
      <c r="C802" t="s">
        <v>39</v>
      </c>
      <c r="D802" s="4">
        <v>0</v>
      </c>
      <c r="E802" t="s">
        <v>39</v>
      </c>
    </row>
    <row r="803" spans="1:5" x14ac:dyDescent="0.25">
      <c r="A803">
        <v>16</v>
      </c>
      <c r="B803">
        <v>10</v>
      </c>
      <c r="C803" t="s">
        <v>603</v>
      </c>
      <c r="D803" s="5">
        <v>0</v>
      </c>
      <c r="E803" t="s">
        <v>604</v>
      </c>
    </row>
    <row r="804" spans="1:5" hidden="1" x14ac:dyDescent="0.25">
      <c r="A804">
        <v>16</v>
      </c>
      <c r="B804">
        <v>10</v>
      </c>
      <c r="C804" t="s">
        <v>39</v>
      </c>
      <c r="D804" s="4">
        <v>0</v>
      </c>
      <c r="E804" t="s">
        <v>39</v>
      </c>
    </row>
    <row r="805" spans="1:5" x14ac:dyDescent="0.25">
      <c r="A805">
        <v>16</v>
      </c>
      <c r="B805">
        <v>10</v>
      </c>
      <c r="C805" t="s">
        <v>605</v>
      </c>
      <c r="D805" s="5">
        <v>0</v>
      </c>
      <c r="E805" t="s">
        <v>606</v>
      </c>
    </row>
    <row r="806" spans="1:5" hidden="1" x14ac:dyDescent="0.25">
      <c r="A806">
        <v>16</v>
      </c>
      <c r="B806">
        <v>10</v>
      </c>
      <c r="C806" t="s">
        <v>39</v>
      </c>
      <c r="D806" s="4">
        <v>0</v>
      </c>
      <c r="E806" t="s">
        <v>39</v>
      </c>
    </row>
    <row r="807" spans="1:5" hidden="1" x14ac:dyDescent="0.25">
      <c r="A807">
        <v>16</v>
      </c>
      <c r="B807">
        <v>13</v>
      </c>
      <c r="C807" t="s">
        <v>39</v>
      </c>
      <c r="D807" s="4">
        <v>0</v>
      </c>
      <c r="E807" t="s">
        <v>39</v>
      </c>
    </row>
    <row r="808" spans="1:5" x14ac:dyDescent="0.25">
      <c r="A808">
        <v>16</v>
      </c>
      <c r="B808">
        <v>13</v>
      </c>
      <c r="C808" t="s">
        <v>607</v>
      </c>
      <c r="D808" s="5">
        <v>0</v>
      </c>
      <c r="E808" t="s">
        <v>608</v>
      </c>
    </row>
    <row r="809" spans="1:5" hidden="1" x14ac:dyDescent="0.25">
      <c r="A809">
        <v>16</v>
      </c>
      <c r="B809">
        <v>13</v>
      </c>
      <c r="C809" t="s">
        <v>39</v>
      </c>
      <c r="D809" s="4">
        <v>0</v>
      </c>
      <c r="E809" t="s">
        <v>39</v>
      </c>
    </row>
    <row r="810" spans="1:5" x14ac:dyDescent="0.25">
      <c r="A810">
        <v>16</v>
      </c>
      <c r="B810">
        <v>13</v>
      </c>
      <c r="C810" t="s">
        <v>609</v>
      </c>
      <c r="D810" s="5">
        <v>0</v>
      </c>
      <c r="E810" t="s">
        <v>610</v>
      </c>
    </row>
    <row r="811" spans="1:5" hidden="1" x14ac:dyDescent="0.25">
      <c r="A811">
        <v>16</v>
      </c>
      <c r="B811">
        <v>13</v>
      </c>
      <c r="C811" t="s">
        <v>39</v>
      </c>
      <c r="D811" s="4">
        <v>0</v>
      </c>
      <c r="E811" t="s">
        <v>39</v>
      </c>
    </row>
    <row r="812" spans="1:5" x14ac:dyDescent="0.25">
      <c r="A812">
        <v>16</v>
      </c>
      <c r="B812">
        <v>13</v>
      </c>
      <c r="C812" t="s">
        <v>611</v>
      </c>
      <c r="D812" s="5">
        <v>0</v>
      </c>
      <c r="E812" t="s">
        <v>612</v>
      </c>
    </row>
    <row r="813" spans="1:5" hidden="1" x14ac:dyDescent="0.25">
      <c r="A813">
        <v>16</v>
      </c>
      <c r="B813">
        <v>13</v>
      </c>
      <c r="C813" t="s">
        <v>39</v>
      </c>
      <c r="D813" s="4">
        <v>0</v>
      </c>
      <c r="E813" t="s">
        <v>39</v>
      </c>
    </row>
    <row r="814" spans="1:5" x14ac:dyDescent="0.25">
      <c r="A814">
        <v>16</v>
      </c>
      <c r="B814">
        <v>13</v>
      </c>
      <c r="C814" t="s">
        <v>613</v>
      </c>
      <c r="D814" s="5">
        <v>60</v>
      </c>
      <c r="E814" t="s">
        <v>614</v>
      </c>
    </row>
    <row r="815" spans="1:5" hidden="1" x14ac:dyDescent="0.25">
      <c r="A815">
        <v>16</v>
      </c>
      <c r="B815">
        <v>13</v>
      </c>
      <c r="C815" t="s">
        <v>39</v>
      </c>
      <c r="D815" s="4">
        <v>0</v>
      </c>
      <c r="E815" t="s">
        <v>39</v>
      </c>
    </row>
    <row r="816" spans="1:5" hidden="1" x14ac:dyDescent="0.25">
      <c r="A816">
        <v>16</v>
      </c>
      <c r="B816">
        <v>13</v>
      </c>
      <c r="C816" t="s">
        <v>39</v>
      </c>
      <c r="D816" s="4">
        <v>0</v>
      </c>
      <c r="E816" t="s">
        <v>39</v>
      </c>
    </row>
    <row r="817" spans="1:5" hidden="1" x14ac:dyDescent="0.25">
      <c r="A817">
        <v>16</v>
      </c>
      <c r="B817">
        <v>16</v>
      </c>
      <c r="C817" t="s">
        <v>39</v>
      </c>
      <c r="D817" s="4">
        <v>0</v>
      </c>
      <c r="E817" t="s">
        <v>39</v>
      </c>
    </row>
    <row r="818" spans="1:5" x14ac:dyDescent="0.25">
      <c r="A818">
        <v>16</v>
      </c>
      <c r="B818">
        <v>16</v>
      </c>
      <c r="C818" t="s">
        <v>615</v>
      </c>
      <c r="D818" s="5">
        <v>0</v>
      </c>
      <c r="E818" t="s">
        <v>616</v>
      </c>
    </row>
    <row r="819" spans="1:5" hidden="1" x14ac:dyDescent="0.25">
      <c r="A819">
        <v>16</v>
      </c>
      <c r="B819">
        <v>16</v>
      </c>
      <c r="C819" t="s">
        <v>39</v>
      </c>
      <c r="D819" s="4">
        <v>0</v>
      </c>
      <c r="E819" t="s">
        <v>39</v>
      </c>
    </row>
    <row r="820" spans="1:5" x14ac:dyDescent="0.25">
      <c r="A820">
        <v>16</v>
      </c>
      <c r="B820">
        <v>16</v>
      </c>
      <c r="C820" t="s">
        <v>617</v>
      </c>
      <c r="D820" s="5">
        <v>0</v>
      </c>
      <c r="E820" t="s">
        <v>618</v>
      </c>
    </row>
    <row r="821" spans="1:5" hidden="1" x14ac:dyDescent="0.25">
      <c r="A821">
        <v>16</v>
      </c>
      <c r="B821">
        <v>16</v>
      </c>
      <c r="C821" t="s">
        <v>39</v>
      </c>
      <c r="D821" s="4">
        <v>0</v>
      </c>
      <c r="E821" t="s">
        <v>39</v>
      </c>
    </row>
    <row r="822" spans="1:5" x14ac:dyDescent="0.25">
      <c r="A822">
        <v>16</v>
      </c>
      <c r="B822">
        <v>16</v>
      </c>
      <c r="C822" t="s">
        <v>619</v>
      </c>
      <c r="D822" s="5">
        <v>0</v>
      </c>
      <c r="E822" t="s">
        <v>620</v>
      </c>
    </row>
    <row r="823" spans="1:5" hidden="1" x14ac:dyDescent="0.25">
      <c r="A823">
        <v>16</v>
      </c>
      <c r="B823">
        <v>16</v>
      </c>
      <c r="C823" t="s">
        <v>39</v>
      </c>
      <c r="D823" s="4">
        <v>0</v>
      </c>
      <c r="E823" t="s">
        <v>39</v>
      </c>
    </row>
    <row r="824" spans="1:5" hidden="1" x14ac:dyDescent="0.25">
      <c r="A824">
        <v>16</v>
      </c>
      <c r="B824">
        <v>20</v>
      </c>
      <c r="C824" t="s">
        <v>39</v>
      </c>
      <c r="D824" s="4">
        <v>0</v>
      </c>
      <c r="E824" t="s">
        <v>39</v>
      </c>
    </row>
    <row r="825" spans="1:5" x14ac:dyDescent="0.25">
      <c r="A825">
        <v>16</v>
      </c>
      <c r="B825">
        <v>20</v>
      </c>
      <c r="C825" t="s">
        <v>621</v>
      </c>
      <c r="D825" s="5">
        <v>0</v>
      </c>
      <c r="E825" t="s">
        <v>622</v>
      </c>
    </row>
    <row r="826" spans="1:5" hidden="1" x14ac:dyDescent="0.25">
      <c r="A826">
        <v>16</v>
      </c>
      <c r="B826">
        <v>20</v>
      </c>
      <c r="C826" t="s">
        <v>39</v>
      </c>
      <c r="D826" s="4">
        <v>0</v>
      </c>
      <c r="E826" t="s">
        <v>39</v>
      </c>
    </row>
    <row r="827" spans="1:5" x14ac:dyDescent="0.25">
      <c r="A827">
        <v>16</v>
      </c>
      <c r="B827">
        <v>20</v>
      </c>
      <c r="C827" t="s">
        <v>623</v>
      </c>
      <c r="D827" s="5">
        <v>0</v>
      </c>
      <c r="E827" t="s">
        <v>624</v>
      </c>
    </row>
    <row r="828" spans="1:5" hidden="1" x14ac:dyDescent="0.25">
      <c r="A828">
        <v>16</v>
      </c>
      <c r="B828">
        <v>20</v>
      </c>
      <c r="C828" t="s">
        <v>39</v>
      </c>
      <c r="D828" s="4">
        <v>0</v>
      </c>
      <c r="E828" t="s">
        <v>39</v>
      </c>
    </row>
    <row r="829" spans="1:5" x14ac:dyDescent="0.25">
      <c r="A829">
        <v>16</v>
      </c>
      <c r="B829">
        <v>20</v>
      </c>
      <c r="C829" t="s">
        <v>2466</v>
      </c>
      <c r="D829" s="5">
        <v>0</v>
      </c>
      <c r="E829" t="s">
        <v>625</v>
      </c>
    </row>
    <row r="830" spans="1:5" hidden="1" x14ac:dyDescent="0.25">
      <c r="A830">
        <v>16</v>
      </c>
      <c r="B830">
        <v>20</v>
      </c>
      <c r="C830" t="s">
        <v>39</v>
      </c>
      <c r="D830" s="4">
        <v>0</v>
      </c>
      <c r="E830" t="s">
        <v>39</v>
      </c>
    </row>
    <row r="831" spans="1:5" x14ac:dyDescent="0.25">
      <c r="A831">
        <v>16</v>
      </c>
      <c r="B831">
        <v>20</v>
      </c>
      <c r="C831" t="s">
        <v>2467</v>
      </c>
      <c r="D831" s="5">
        <v>60</v>
      </c>
      <c r="E831" t="s">
        <v>626</v>
      </c>
    </row>
    <row r="832" spans="1:5" x14ac:dyDescent="0.25">
      <c r="A832">
        <v>17</v>
      </c>
      <c r="B832">
        <v>1</v>
      </c>
      <c r="C832" t="s">
        <v>628</v>
      </c>
      <c r="D832" s="5">
        <v>0</v>
      </c>
      <c r="E832" t="s">
        <v>629</v>
      </c>
    </row>
    <row r="833" spans="1:5" hidden="1" x14ac:dyDescent="0.25">
      <c r="A833">
        <v>17</v>
      </c>
      <c r="B833">
        <v>1</v>
      </c>
      <c r="C833" t="s">
        <v>39</v>
      </c>
      <c r="D833" s="4">
        <v>0</v>
      </c>
      <c r="E833" t="s">
        <v>39</v>
      </c>
    </row>
    <row r="834" spans="1:5" x14ac:dyDescent="0.25">
      <c r="A834">
        <v>17</v>
      </c>
      <c r="B834">
        <v>1</v>
      </c>
      <c r="C834" t="s">
        <v>630</v>
      </c>
      <c r="D834" s="5">
        <v>0</v>
      </c>
      <c r="E834" t="s">
        <v>2468</v>
      </c>
    </row>
    <row r="835" spans="1:5" hidden="1" x14ac:dyDescent="0.25">
      <c r="A835">
        <v>17</v>
      </c>
      <c r="B835">
        <v>1</v>
      </c>
      <c r="C835" t="s">
        <v>39</v>
      </c>
      <c r="D835" s="4">
        <v>0</v>
      </c>
      <c r="E835" t="s">
        <v>39</v>
      </c>
    </row>
    <row r="836" spans="1:5" x14ac:dyDescent="0.25">
      <c r="A836">
        <v>17</v>
      </c>
      <c r="B836">
        <v>1</v>
      </c>
      <c r="C836" t="s">
        <v>631</v>
      </c>
      <c r="D836" s="5">
        <v>0</v>
      </c>
      <c r="E836" t="s">
        <v>2469</v>
      </c>
    </row>
    <row r="837" spans="1:5" hidden="1" x14ac:dyDescent="0.25">
      <c r="A837">
        <v>17</v>
      </c>
      <c r="B837">
        <v>1</v>
      </c>
      <c r="C837" t="s">
        <v>39</v>
      </c>
      <c r="D837" s="4">
        <v>0</v>
      </c>
      <c r="E837" t="s">
        <v>39</v>
      </c>
    </row>
    <row r="838" spans="1:5" hidden="1" x14ac:dyDescent="0.25">
      <c r="A838">
        <v>17</v>
      </c>
      <c r="B838">
        <v>4</v>
      </c>
      <c r="C838" t="s">
        <v>39</v>
      </c>
      <c r="D838" s="4">
        <v>0</v>
      </c>
      <c r="E838" t="s">
        <v>39</v>
      </c>
    </row>
    <row r="839" spans="1:5" x14ac:dyDescent="0.25">
      <c r="A839">
        <v>17</v>
      </c>
      <c r="B839">
        <v>4</v>
      </c>
      <c r="C839" t="s">
        <v>632</v>
      </c>
      <c r="D839" s="5">
        <v>0</v>
      </c>
      <c r="E839" t="s">
        <v>659</v>
      </c>
    </row>
    <row r="840" spans="1:5" hidden="1" x14ac:dyDescent="0.25">
      <c r="A840">
        <v>17</v>
      </c>
      <c r="B840">
        <v>4</v>
      </c>
      <c r="C840" t="s">
        <v>39</v>
      </c>
      <c r="D840" s="4">
        <v>0</v>
      </c>
      <c r="E840" t="s">
        <v>39</v>
      </c>
    </row>
    <row r="841" spans="1:5" x14ac:dyDescent="0.25">
      <c r="A841">
        <v>17</v>
      </c>
      <c r="B841">
        <v>4</v>
      </c>
      <c r="C841" t="s">
        <v>633</v>
      </c>
      <c r="D841" s="5">
        <v>0</v>
      </c>
      <c r="E841" t="s">
        <v>634</v>
      </c>
    </row>
    <row r="842" spans="1:5" hidden="1" x14ac:dyDescent="0.25">
      <c r="A842">
        <v>17</v>
      </c>
      <c r="B842">
        <v>4</v>
      </c>
      <c r="C842" t="s">
        <v>39</v>
      </c>
      <c r="D842" s="4">
        <v>0</v>
      </c>
      <c r="E842" t="s">
        <v>39</v>
      </c>
    </row>
    <row r="843" spans="1:5" x14ac:dyDescent="0.25">
      <c r="A843">
        <v>17</v>
      </c>
      <c r="B843">
        <v>4</v>
      </c>
      <c r="C843" t="s">
        <v>635</v>
      </c>
      <c r="D843" s="5">
        <v>0</v>
      </c>
      <c r="E843" t="s">
        <v>636</v>
      </c>
    </row>
    <row r="844" spans="1:5" hidden="1" x14ac:dyDescent="0.25">
      <c r="A844">
        <v>17</v>
      </c>
      <c r="B844">
        <v>4</v>
      </c>
      <c r="C844" t="s">
        <v>39</v>
      </c>
      <c r="D844" s="4">
        <v>0</v>
      </c>
      <c r="E844" t="s">
        <v>39</v>
      </c>
    </row>
    <row r="845" spans="1:5" x14ac:dyDescent="0.25">
      <c r="A845">
        <v>17</v>
      </c>
      <c r="B845">
        <v>4</v>
      </c>
      <c r="C845" t="s">
        <v>637</v>
      </c>
      <c r="D845" s="5">
        <v>0</v>
      </c>
      <c r="E845" t="s">
        <v>2470</v>
      </c>
    </row>
    <row r="846" spans="1:5" hidden="1" x14ac:dyDescent="0.25">
      <c r="A846">
        <v>17</v>
      </c>
      <c r="B846">
        <v>4</v>
      </c>
      <c r="C846" t="s">
        <v>39</v>
      </c>
      <c r="D846" s="4">
        <v>0</v>
      </c>
      <c r="E846" t="s">
        <v>39</v>
      </c>
    </row>
    <row r="847" spans="1:5" hidden="1" x14ac:dyDescent="0.25">
      <c r="A847">
        <v>17</v>
      </c>
      <c r="B847">
        <v>7</v>
      </c>
      <c r="C847" t="s">
        <v>39</v>
      </c>
      <c r="D847" s="4">
        <v>0</v>
      </c>
      <c r="E847" t="s">
        <v>39</v>
      </c>
    </row>
    <row r="848" spans="1:5" x14ac:dyDescent="0.25">
      <c r="A848">
        <v>17</v>
      </c>
      <c r="B848">
        <v>7</v>
      </c>
      <c r="C848" t="s">
        <v>638</v>
      </c>
      <c r="D848" s="5">
        <v>0</v>
      </c>
      <c r="E848" t="s">
        <v>660</v>
      </c>
    </row>
    <row r="849" spans="1:5" hidden="1" x14ac:dyDescent="0.25">
      <c r="A849">
        <v>17</v>
      </c>
      <c r="B849">
        <v>7</v>
      </c>
      <c r="C849" t="s">
        <v>39</v>
      </c>
      <c r="D849" s="4">
        <v>0</v>
      </c>
      <c r="E849" t="s">
        <v>39</v>
      </c>
    </row>
    <row r="850" spans="1:5" x14ac:dyDescent="0.25">
      <c r="A850">
        <v>17</v>
      </c>
      <c r="B850">
        <v>7</v>
      </c>
      <c r="C850" t="s">
        <v>639</v>
      </c>
      <c r="D850" s="5">
        <v>0</v>
      </c>
      <c r="E850" t="s">
        <v>658</v>
      </c>
    </row>
    <row r="851" spans="1:5" hidden="1" x14ac:dyDescent="0.25">
      <c r="A851">
        <v>17</v>
      </c>
      <c r="B851">
        <v>7</v>
      </c>
      <c r="C851" t="s">
        <v>39</v>
      </c>
      <c r="D851" s="4">
        <v>0</v>
      </c>
      <c r="E851" t="s">
        <v>39</v>
      </c>
    </row>
    <row r="852" spans="1:5" x14ac:dyDescent="0.25">
      <c r="A852">
        <v>17</v>
      </c>
      <c r="B852">
        <v>7</v>
      </c>
      <c r="C852" t="s">
        <v>640</v>
      </c>
      <c r="D852" s="5">
        <v>0</v>
      </c>
      <c r="E852" t="s">
        <v>657</v>
      </c>
    </row>
    <row r="853" spans="1:5" hidden="1" x14ac:dyDescent="0.25">
      <c r="A853">
        <v>17</v>
      </c>
      <c r="B853">
        <v>7</v>
      </c>
      <c r="C853" t="s">
        <v>39</v>
      </c>
      <c r="D853" s="4">
        <v>0</v>
      </c>
      <c r="E853" t="s">
        <v>39</v>
      </c>
    </row>
    <row r="854" spans="1:5" hidden="1" x14ac:dyDescent="0.25">
      <c r="A854">
        <v>17</v>
      </c>
      <c r="B854">
        <v>10</v>
      </c>
      <c r="C854" t="s">
        <v>39</v>
      </c>
      <c r="D854" s="4">
        <v>0</v>
      </c>
      <c r="E854" t="s">
        <v>39</v>
      </c>
    </row>
    <row r="855" spans="1:5" x14ac:dyDescent="0.25">
      <c r="A855">
        <v>17</v>
      </c>
      <c r="B855">
        <v>10</v>
      </c>
      <c r="C855" t="s">
        <v>641</v>
      </c>
      <c r="D855" s="5">
        <v>0</v>
      </c>
      <c r="E855" t="s">
        <v>661</v>
      </c>
    </row>
    <row r="856" spans="1:5" hidden="1" x14ac:dyDescent="0.25">
      <c r="A856">
        <v>17</v>
      </c>
      <c r="B856">
        <v>10</v>
      </c>
      <c r="C856" t="s">
        <v>39</v>
      </c>
      <c r="D856" s="4">
        <v>0</v>
      </c>
      <c r="E856" t="s">
        <v>39</v>
      </c>
    </row>
    <row r="857" spans="1:5" x14ac:dyDescent="0.25">
      <c r="A857">
        <v>17</v>
      </c>
      <c r="B857">
        <v>10</v>
      </c>
      <c r="C857" t="s">
        <v>642</v>
      </c>
      <c r="D857" s="5">
        <v>0</v>
      </c>
      <c r="E857" t="s">
        <v>662</v>
      </c>
    </row>
    <row r="858" spans="1:5" hidden="1" x14ac:dyDescent="0.25">
      <c r="A858">
        <v>17</v>
      </c>
      <c r="B858">
        <v>10</v>
      </c>
      <c r="C858" t="s">
        <v>39</v>
      </c>
      <c r="D858" s="4">
        <v>0</v>
      </c>
      <c r="E858" t="s">
        <v>39</v>
      </c>
    </row>
    <row r="859" spans="1:5" hidden="1" x14ac:dyDescent="0.25">
      <c r="A859">
        <v>17</v>
      </c>
      <c r="B859">
        <v>13</v>
      </c>
      <c r="C859" t="s">
        <v>39</v>
      </c>
      <c r="D859" s="4">
        <v>0</v>
      </c>
      <c r="E859" t="s">
        <v>39</v>
      </c>
    </row>
    <row r="860" spans="1:5" x14ac:dyDescent="0.25">
      <c r="A860">
        <v>17</v>
      </c>
      <c r="B860">
        <v>13</v>
      </c>
      <c r="C860" t="s">
        <v>643</v>
      </c>
      <c r="D860" s="5">
        <v>0</v>
      </c>
      <c r="E860" t="s">
        <v>2471</v>
      </c>
    </row>
    <row r="861" spans="1:5" hidden="1" x14ac:dyDescent="0.25">
      <c r="A861">
        <v>17</v>
      </c>
      <c r="B861">
        <v>13</v>
      </c>
      <c r="C861" t="s">
        <v>39</v>
      </c>
      <c r="D861" s="4">
        <v>0</v>
      </c>
      <c r="E861" t="s">
        <v>39</v>
      </c>
    </row>
    <row r="862" spans="1:5" x14ac:dyDescent="0.25">
      <c r="A862">
        <v>17</v>
      </c>
      <c r="B862">
        <v>13</v>
      </c>
      <c r="C862" t="s">
        <v>644</v>
      </c>
      <c r="D862" s="5">
        <v>0</v>
      </c>
      <c r="E862" t="s">
        <v>2472</v>
      </c>
    </row>
    <row r="863" spans="1:5" hidden="1" x14ac:dyDescent="0.25">
      <c r="A863">
        <v>17</v>
      </c>
      <c r="B863">
        <v>13</v>
      </c>
      <c r="C863" t="s">
        <v>39</v>
      </c>
      <c r="D863" s="4">
        <v>0</v>
      </c>
      <c r="E863" t="s">
        <v>39</v>
      </c>
    </row>
    <row r="864" spans="1:5" x14ac:dyDescent="0.25">
      <c r="A864">
        <v>17</v>
      </c>
      <c r="B864">
        <v>13</v>
      </c>
      <c r="C864" t="s">
        <v>645</v>
      </c>
      <c r="D864" s="5">
        <v>0</v>
      </c>
      <c r="E864" t="s">
        <v>646</v>
      </c>
    </row>
    <row r="865" spans="1:5" hidden="1" x14ac:dyDescent="0.25">
      <c r="A865">
        <v>17</v>
      </c>
      <c r="B865">
        <v>13</v>
      </c>
      <c r="C865" t="s">
        <v>39</v>
      </c>
      <c r="D865" s="4">
        <v>0</v>
      </c>
      <c r="E865" t="s">
        <v>39</v>
      </c>
    </row>
    <row r="866" spans="1:5" x14ac:dyDescent="0.25">
      <c r="A866">
        <v>17</v>
      </c>
      <c r="B866">
        <v>13</v>
      </c>
      <c r="C866" t="s">
        <v>647</v>
      </c>
      <c r="D866" s="5">
        <v>0</v>
      </c>
      <c r="E866" t="s">
        <v>2473</v>
      </c>
    </row>
    <row r="867" spans="1:5" hidden="1" x14ac:dyDescent="0.25">
      <c r="A867">
        <v>17</v>
      </c>
      <c r="B867">
        <v>13</v>
      </c>
      <c r="C867" t="s">
        <v>39</v>
      </c>
      <c r="D867" s="4">
        <v>0</v>
      </c>
      <c r="E867" t="s">
        <v>39</v>
      </c>
    </row>
    <row r="868" spans="1:5" hidden="1" x14ac:dyDescent="0.25">
      <c r="A868">
        <v>17</v>
      </c>
      <c r="B868">
        <v>16</v>
      </c>
      <c r="C868" t="s">
        <v>39</v>
      </c>
      <c r="D868" s="4">
        <v>0</v>
      </c>
      <c r="E868" t="s">
        <v>39</v>
      </c>
    </row>
    <row r="869" spans="1:5" x14ac:dyDescent="0.25">
      <c r="A869">
        <v>17</v>
      </c>
      <c r="B869">
        <v>16</v>
      </c>
      <c r="C869" t="s">
        <v>648</v>
      </c>
      <c r="D869" s="5">
        <v>0</v>
      </c>
      <c r="E869" t="s">
        <v>649</v>
      </c>
    </row>
    <row r="870" spans="1:5" hidden="1" x14ac:dyDescent="0.25">
      <c r="A870">
        <v>17</v>
      </c>
      <c r="B870">
        <v>16</v>
      </c>
      <c r="C870" t="s">
        <v>39</v>
      </c>
      <c r="D870" s="4">
        <v>0</v>
      </c>
      <c r="E870" t="s">
        <v>39</v>
      </c>
    </row>
    <row r="871" spans="1:5" x14ac:dyDescent="0.25">
      <c r="A871">
        <v>17</v>
      </c>
      <c r="B871">
        <v>16</v>
      </c>
      <c r="C871" t="s">
        <v>650</v>
      </c>
      <c r="D871" s="5">
        <v>0</v>
      </c>
      <c r="E871" t="s">
        <v>651</v>
      </c>
    </row>
    <row r="872" spans="1:5" hidden="1" x14ac:dyDescent="0.25">
      <c r="A872">
        <v>17</v>
      </c>
      <c r="B872">
        <v>16</v>
      </c>
      <c r="C872" t="s">
        <v>39</v>
      </c>
      <c r="D872" s="4">
        <v>0</v>
      </c>
      <c r="E872" t="s">
        <v>39</v>
      </c>
    </row>
    <row r="873" spans="1:5" x14ac:dyDescent="0.25">
      <c r="A873">
        <v>17</v>
      </c>
      <c r="B873">
        <v>16</v>
      </c>
      <c r="C873" t="s">
        <v>652</v>
      </c>
      <c r="D873" s="5">
        <v>0</v>
      </c>
      <c r="E873" t="s">
        <v>2474</v>
      </c>
    </row>
    <row r="874" spans="1:5" hidden="1" x14ac:dyDescent="0.25">
      <c r="A874">
        <v>17</v>
      </c>
      <c r="B874">
        <v>16</v>
      </c>
      <c r="C874" t="s">
        <v>39</v>
      </c>
      <c r="D874" s="4">
        <v>0</v>
      </c>
      <c r="E874" t="s">
        <v>39</v>
      </c>
    </row>
    <row r="875" spans="1:5" hidden="1" x14ac:dyDescent="0.25">
      <c r="A875">
        <v>17</v>
      </c>
      <c r="B875">
        <v>20</v>
      </c>
      <c r="C875" t="s">
        <v>39</v>
      </c>
      <c r="D875" s="4">
        <v>0</v>
      </c>
      <c r="E875" t="s">
        <v>39</v>
      </c>
    </row>
    <row r="876" spans="1:5" x14ac:dyDescent="0.25">
      <c r="A876">
        <v>17</v>
      </c>
      <c r="B876">
        <v>20</v>
      </c>
      <c r="C876" t="s">
        <v>653</v>
      </c>
      <c r="D876" s="5">
        <v>0</v>
      </c>
      <c r="E876" t="s">
        <v>654</v>
      </c>
    </row>
    <row r="877" spans="1:5" hidden="1" x14ac:dyDescent="0.25">
      <c r="A877">
        <v>17</v>
      </c>
      <c r="B877">
        <v>20</v>
      </c>
      <c r="C877" t="s">
        <v>39</v>
      </c>
      <c r="D877" s="4">
        <v>0</v>
      </c>
      <c r="E877" t="s">
        <v>39</v>
      </c>
    </row>
    <row r="878" spans="1:5" x14ac:dyDescent="0.25">
      <c r="A878">
        <v>17</v>
      </c>
      <c r="B878">
        <v>20</v>
      </c>
      <c r="C878" t="s">
        <v>655</v>
      </c>
      <c r="D878" s="5">
        <v>0</v>
      </c>
      <c r="E878" t="s">
        <v>2475</v>
      </c>
    </row>
    <row r="879" spans="1:5" hidden="1" x14ac:dyDescent="0.25">
      <c r="A879">
        <v>17</v>
      </c>
      <c r="B879">
        <v>20</v>
      </c>
      <c r="C879" t="s">
        <v>39</v>
      </c>
      <c r="D879" s="4">
        <v>0</v>
      </c>
      <c r="E879" t="s">
        <v>39</v>
      </c>
    </row>
    <row r="880" spans="1:5" x14ac:dyDescent="0.25">
      <c r="A880">
        <v>17</v>
      </c>
      <c r="B880">
        <v>20</v>
      </c>
      <c r="C880" t="s">
        <v>2476</v>
      </c>
      <c r="D880" s="5">
        <v>0</v>
      </c>
      <c r="E880" t="s">
        <v>663</v>
      </c>
    </row>
    <row r="881" spans="1:5" hidden="1" x14ac:dyDescent="0.25">
      <c r="A881">
        <v>17</v>
      </c>
      <c r="B881">
        <v>20</v>
      </c>
      <c r="C881" t="s">
        <v>39</v>
      </c>
      <c r="D881" s="4">
        <v>0</v>
      </c>
      <c r="E881" t="s">
        <v>39</v>
      </c>
    </row>
    <row r="882" spans="1:5" x14ac:dyDescent="0.25">
      <c r="A882">
        <v>17</v>
      </c>
      <c r="B882">
        <v>20</v>
      </c>
      <c r="C882" t="s">
        <v>656</v>
      </c>
      <c r="D882" s="5">
        <v>0</v>
      </c>
      <c r="E882" t="s">
        <v>664</v>
      </c>
    </row>
    <row r="883" spans="1:5" x14ac:dyDescent="0.25">
      <c r="A883">
        <v>18</v>
      </c>
      <c r="B883">
        <v>1</v>
      </c>
      <c r="C883" t="s">
        <v>666</v>
      </c>
      <c r="D883" s="5">
        <v>0</v>
      </c>
      <c r="E883" t="s">
        <v>2477</v>
      </c>
    </row>
    <row r="884" spans="1:5" hidden="1" x14ac:dyDescent="0.25">
      <c r="A884">
        <v>18</v>
      </c>
      <c r="B884">
        <v>1</v>
      </c>
      <c r="C884" t="s">
        <v>39</v>
      </c>
      <c r="D884" s="4">
        <v>0</v>
      </c>
      <c r="E884" t="s">
        <v>39</v>
      </c>
    </row>
    <row r="885" spans="1:5" hidden="1" x14ac:dyDescent="0.25">
      <c r="A885">
        <v>18</v>
      </c>
      <c r="B885">
        <v>1</v>
      </c>
      <c r="C885" t="s">
        <v>39</v>
      </c>
      <c r="D885" s="4">
        <v>0</v>
      </c>
      <c r="E885" t="s">
        <v>39</v>
      </c>
    </row>
    <row r="886" spans="1:5" x14ac:dyDescent="0.25">
      <c r="A886">
        <v>18</v>
      </c>
      <c r="B886">
        <v>1</v>
      </c>
      <c r="C886" t="s">
        <v>667</v>
      </c>
      <c r="D886" s="5">
        <v>0</v>
      </c>
      <c r="E886" t="s">
        <v>668</v>
      </c>
    </row>
    <row r="887" spans="1:5" hidden="1" x14ac:dyDescent="0.25">
      <c r="A887">
        <v>18</v>
      </c>
      <c r="B887">
        <v>1</v>
      </c>
      <c r="C887" t="s">
        <v>39</v>
      </c>
      <c r="D887" s="4">
        <v>0</v>
      </c>
      <c r="E887" t="s">
        <v>39</v>
      </c>
    </row>
    <row r="888" spans="1:5" x14ac:dyDescent="0.25">
      <c r="A888">
        <v>18</v>
      </c>
      <c r="B888">
        <v>1</v>
      </c>
      <c r="C888" t="s">
        <v>669</v>
      </c>
      <c r="D888" s="5">
        <v>0</v>
      </c>
      <c r="E888" t="s">
        <v>708</v>
      </c>
    </row>
    <row r="889" spans="1:5" hidden="1" x14ac:dyDescent="0.25">
      <c r="A889">
        <v>18</v>
      </c>
      <c r="B889">
        <v>1</v>
      </c>
      <c r="C889" t="s">
        <v>39</v>
      </c>
      <c r="D889" s="4">
        <v>0</v>
      </c>
      <c r="E889" t="s">
        <v>39</v>
      </c>
    </row>
    <row r="890" spans="1:5" hidden="1" x14ac:dyDescent="0.25">
      <c r="A890">
        <v>18</v>
      </c>
      <c r="B890">
        <v>1</v>
      </c>
      <c r="C890" t="s">
        <v>39</v>
      </c>
      <c r="D890" s="4">
        <v>0</v>
      </c>
      <c r="E890" t="s">
        <v>39</v>
      </c>
    </row>
    <row r="891" spans="1:5" x14ac:dyDescent="0.25">
      <c r="A891">
        <v>18</v>
      </c>
      <c r="B891">
        <v>1</v>
      </c>
      <c r="C891" t="s">
        <v>670</v>
      </c>
      <c r="D891" s="5">
        <v>0</v>
      </c>
      <c r="E891" t="s">
        <v>709</v>
      </c>
    </row>
    <row r="892" spans="1:5" hidden="1" x14ac:dyDescent="0.25">
      <c r="A892">
        <v>18</v>
      </c>
      <c r="B892">
        <v>1</v>
      </c>
      <c r="C892" t="s">
        <v>39</v>
      </c>
      <c r="D892" s="4">
        <v>0</v>
      </c>
      <c r="E892" t="s">
        <v>39</v>
      </c>
    </row>
    <row r="893" spans="1:5" hidden="1" x14ac:dyDescent="0.25">
      <c r="A893">
        <v>18</v>
      </c>
      <c r="B893">
        <v>1</v>
      </c>
      <c r="C893" t="s">
        <v>39</v>
      </c>
      <c r="D893" s="4">
        <v>0</v>
      </c>
      <c r="E893" t="s">
        <v>39</v>
      </c>
    </row>
    <row r="894" spans="1:5" hidden="1" x14ac:dyDescent="0.25">
      <c r="A894">
        <v>18</v>
      </c>
      <c r="B894">
        <v>4</v>
      </c>
      <c r="C894" t="s">
        <v>39</v>
      </c>
      <c r="D894" s="4">
        <v>0</v>
      </c>
      <c r="E894" t="s">
        <v>39</v>
      </c>
    </row>
    <row r="895" spans="1:5" x14ac:dyDescent="0.25">
      <c r="A895">
        <v>18</v>
      </c>
      <c r="B895">
        <v>4</v>
      </c>
      <c r="C895" t="s">
        <v>671</v>
      </c>
      <c r="D895" s="5">
        <v>0</v>
      </c>
      <c r="E895" t="s">
        <v>672</v>
      </c>
    </row>
    <row r="896" spans="1:5" hidden="1" x14ac:dyDescent="0.25">
      <c r="A896">
        <v>18</v>
      </c>
      <c r="B896">
        <v>4</v>
      </c>
      <c r="C896" t="s">
        <v>39</v>
      </c>
      <c r="D896" s="4">
        <v>0</v>
      </c>
      <c r="E896" t="s">
        <v>39</v>
      </c>
    </row>
    <row r="897" spans="1:5" x14ac:dyDescent="0.25">
      <c r="A897">
        <v>18</v>
      </c>
      <c r="B897">
        <v>4</v>
      </c>
      <c r="C897" t="s">
        <v>673</v>
      </c>
      <c r="D897" s="5">
        <v>0</v>
      </c>
      <c r="E897" t="s">
        <v>674</v>
      </c>
    </row>
    <row r="898" spans="1:5" hidden="1" x14ac:dyDescent="0.25">
      <c r="A898">
        <v>18</v>
      </c>
      <c r="B898">
        <v>4</v>
      </c>
      <c r="C898" t="s">
        <v>39</v>
      </c>
      <c r="D898" s="4">
        <v>0</v>
      </c>
      <c r="E898" t="s">
        <v>39</v>
      </c>
    </row>
    <row r="899" spans="1:5" x14ac:dyDescent="0.25">
      <c r="A899">
        <v>18</v>
      </c>
      <c r="B899">
        <v>4</v>
      </c>
      <c r="C899" t="s">
        <v>675</v>
      </c>
      <c r="D899" s="5">
        <v>30</v>
      </c>
      <c r="E899" t="s">
        <v>676</v>
      </c>
    </row>
    <row r="900" spans="1:5" hidden="1" x14ac:dyDescent="0.25">
      <c r="A900">
        <v>18</v>
      </c>
      <c r="B900">
        <v>4</v>
      </c>
      <c r="C900" t="s">
        <v>39</v>
      </c>
      <c r="D900" s="4">
        <v>0</v>
      </c>
      <c r="E900" t="s">
        <v>39</v>
      </c>
    </row>
    <row r="901" spans="1:5" hidden="1" x14ac:dyDescent="0.25">
      <c r="A901">
        <v>18</v>
      </c>
      <c r="B901">
        <v>4</v>
      </c>
      <c r="C901" t="s">
        <v>39</v>
      </c>
      <c r="D901" s="4">
        <v>0</v>
      </c>
      <c r="E901" t="s">
        <v>39</v>
      </c>
    </row>
    <row r="902" spans="1:5" hidden="1" x14ac:dyDescent="0.25">
      <c r="A902">
        <v>18</v>
      </c>
      <c r="B902">
        <v>7</v>
      </c>
      <c r="C902" t="s">
        <v>39</v>
      </c>
      <c r="D902" s="4">
        <v>0</v>
      </c>
      <c r="E902" t="s">
        <v>39</v>
      </c>
    </row>
    <row r="903" spans="1:5" x14ac:dyDescent="0.25">
      <c r="A903">
        <v>18</v>
      </c>
      <c r="B903">
        <v>7</v>
      </c>
      <c r="C903" t="s">
        <v>677</v>
      </c>
      <c r="D903" s="5">
        <v>0</v>
      </c>
      <c r="E903" t="s">
        <v>678</v>
      </c>
    </row>
    <row r="904" spans="1:5" hidden="1" x14ac:dyDescent="0.25">
      <c r="A904">
        <v>18</v>
      </c>
      <c r="B904">
        <v>7</v>
      </c>
      <c r="C904" t="s">
        <v>39</v>
      </c>
      <c r="D904" s="4">
        <v>0</v>
      </c>
      <c r="E904" t="s">
        <v>39</v>
      </c>
    </row>
    <row r="905" spans="1:5" x14ac:dyDescent="0.25">
      <c r="A905">
        <v>18</v>
      </c>
      <c r="B905">
        <v>7</v>
      </c>
      <c r="C905" t="s">
        <v>679</v>
      </c>
      <c r="D905" s="5">
        <v>0</v>
      </c>
      <c r="E905" t="s">
        <v>680</v>
      </c>
    </row>
    <row r="906" spans="1:5" hidden="1" x14ac:dyDescent="0.25">
      <c r="A906">
        <v>18</v>
      </c>
      <c r="B906">
        <v>7</v>
      </c>
      <c r="C906" t="s">
        <v>39</v>
      </c>
      <c r="D906" s="4">
        <v>0</v>
      </c>
      <c r="E906" t="s">
        <v>39</v>
      </c>
    </row>
    <row r="907" spans="1:5" x14ac:dyDescent="0.25">
      <c r="A907">
        <v>18</v>
      </c>
      <c r="B907">
        <v>7</v>
      </c>
      <c r="C907" t="s">
        <v>681</v>
      </c>
      <c r="D907" s="5">
        <v>0</v>
      </c>
      <c r="E907" t="s">
        <v>682</v>
      </c>
    </row>
    <row r="908" spans="1:5" hidden="1" x14ac:dyDescent="0.25">
      <c r="A908">
        <v>18</v>
      </c>
      <c r="B908">
        <v>7</v>
      </c>
      <c r="C908" t="s">
        <v>39</v>
      </c>
      <c r="D908" s="4">
        <v>0</v>
      </c>
      <c r="E908" t="s">
        <v>39</v>
      </c>
    </row>
    <row r="909" spans="1:5" x14ac:dyDescent="0.25">
      <c r="A909">
        <v>18</v>
      </c>
      <c r="B909">
        <v>7</v>
      </c>
      <c r="C909" t="s">
        <v>683</v>
      </c>
      <c r="D909" s="5">
        <v>0</v>
      </c>
      <c r="E909" t="s">
        <v>684</v>
      </c>
    </row>
    <row r="910" spans="1:5" hidden="1" x14ac:dyDescent="0.25">
      <c r="A910">
        <v>18</v>
      </c>
      <c r="B910">
        <v>7</v>
      </c>
      <c r="C910" t="s">
        <v>39</v>
      </c>
      <c r="D910" s="4">
        <v>0</v>
      </c>
      <c r="E910" t="s">
        <v>39</v>
      </c>
    </row>
    <row r="911" spans="1:5" hidden="1" x14ac:dyDescent="0.25">
      <c r="A911">
        <v>18</v>
      </c>
      <c r="B911">
        <v>10</v>
      </c>
      <c r="C911" t="s">
        <v>39</v>
      </c>
      <c r="D911" s="4">
        <v>0</v>
      </c>
      <c r="E911" t="s">
        <v>39</v>
      </c>
    </row>
    <row r="912" spans="1:5" x14ac:dyDescent="0.25">
      <c r="A912">
        <v>18</v>
      </c>
      <c r="B912">
        <v>10</v>
      </c>
      <c r="C912" t="s">
        <v>685</v>
      </c>
      <c r="D912" s="5">
        <v>80</v>
      </c>
      <c r="E912" t="s">
        <v>686</v>
      </c>
    </row>
    <row r="913" spans="1:5" hidden="1" x14ac:dyDescent="0.25">
      <c r="A913">
        <v>18</v>
      </c>
      <c r="B913">
        <v>10</v>
      </c>
      <c r="C913" t="s">
        <v>39</v>
      </c>
      <c r="D913" s="4">
        <v>0</v>
      </c>
      <c r="E913" t="s">
        <v>39</v>
      </c>
    </row>
    <row r="914" spans="1:5" hidden="1" x14ac:dyDescent="0.25">
      <c r="A914">
        <v>18</v>
      </c>
      <c r="B914">
        <v>10</v>
      </c>
      <c r="C914" t="s">
        <v>39</v>
      </c>
      <c r="D914" s="4">
        <v>0</v>
      </c>
      <c r="E914" t="s">
        <v>39</v>
      </c>
    </row>
    <row r="915" spans="1:5" x14ac:dyDescent="0.25">
      <c r="A915">
        <v>18</v>
      </c>
      <c r="B915">
        <v>10</v>
      </c>
      <c r="C915" t="s">
        <v>687</v>
      </c>
      <c r="D915" s="5">
        <v>100</v>
      </c>
      <c r="E915" t="s">
        <v>688</v>
      </c>
    </row>
    <row r="916" spans="1:5" hidden="1" x14ac:dyDescent="0.25">
      <c r="A916">
        <v>18</v>
      </c>
      <c r="B916">
        <v>10</v>
      </c>
      <c r="C916" t="s">
        <v>39</v>
      </c>
      <c r="D916" s="4">
        <v>0</v>
      </c>
      <c r="E916" t="s">
        <v>39</v>
      </c>
    </row>
    <row r="917" spans="1:5" hidden="1" x14ac:dyDescent="0.25">
      <c r="A917">
        <v>18</v>
      </c>
      <c r="B917">
        <v>10</v>
      </c>
      <c r="C917" t="s">
        <v>39</v>
      </c>
      <c r="D917" s="4">
        <v>0</v>
      </c>
      <c r="E917" t="s">
        <v>39</v>
      </c>
    </row>
    <row r="918" spans="1:5" hidden="1" x14ac:dyDescent="0.25">
      <c r="A918">
        <v>18</v>
      </c>
      <c r="B918">
        <v>13</v>
      </c>
      <c r="C918" t="s">
        <v>39</v>
      </c>
      <c r="D918" s="4">
        <v>0</v>
      </c>
      <c r="E918" t="s">
        <v>39</v>
      </c>
    </row>
    <row r="919" spans="1:5" x14ac:dyDescent="0.25">
      <c r="A919">
        <v>18</v>
      </c>
      <c r="B919">
        <v>13</v>
      </c>
      <c r="C919" t="s">
        <v>689</v>
      </c>
      <c r="D919" s="5">
        <v>0</v>
      </c>
      <c r="E919" t="s">
        <v>690</v>
      </c>
    </row>
    <row r="920" spans="1:5" hidden="1" x14ac:dyDescent="0.25">
      <c r="A920">
        <v>18</v>
      </c>
      <c r="B920">
        <v>13</v>
      </c>
      <c r="C920" t="s">
        <v>39</v>
      </c>
      <c r="D920" s="4">
        <v>0</v>
      </c>
      <c r="E920" t="s">
        <v>39</v>
      </c>
    </row>
    <row r="921" spans="1:5" x14ac:dyDescent="0.25">
      <c r="A921">
        <v>18</v>
      </c>
      <c r="B921">
        <v>13</v>
      </c>
      <c r="C921" t="s">
        <v>691</v>
      </c>
      <c r="D921" s="5">
        <v>0</v>
      </c>
      <c r="E921" t="s">
        <v>692</v>
      </c>
    </row>
    <row r="922" spans="1:5" hidden="1" x14ac:dyDescent="0.25">
      <c r="A922">
        <v>18</v>
      </c>
      <c r="B922">
        <v>13</v>
      </c>
      <c r="C922" t="s">
        <v>39</v>
      </c>
      <c r="D922" s="4">
        <v>0</v>
      </c>
      <c r="E922" t="s">
        <v>39</v>
      </c>
    </row>
    <row r="923" spans="1:5" x14ac:dyDescent="0.25">
      <c r="A923">
        <v>18</v>
      </c>
      <c r="B923">
        <v>13</v>
      </c>
      <c r="C923" t="s">
        <v>693</v>
      </c>
      <c r="D923" s="5">
        <v>0</v>
      </c>
      <c r="E923" t="s">
        <v>694</v>
      </c>
    </row>
    <row r="924" spans="1:5" hidden="1" x14ac:dyDescent="0.25">
      <c r="A924">
        <v>18</v>
      </c>
      <c r="B924">
        <v>13</v>
      </c>
      <c r="C924" t="s">
        <v>39</v>
      </c>
      <c r="D924" s="4">
        <v>0</v>
      </c>
      <c r="E924" t="s">
        <v>39</v>
      </c>
    </row>
    <row r="925" spans="1:5" x14ac:dyDescent="0.25">
      <c r="A925">
        <v>18</v>
      </c>
      <c r="B925">
        <v>13</v>
      </c>
      <c r="C925" t="s">
        <v>695</v>
      </c>
      <c r="D925" s="5">
        <v>60</v>
      </c>
      <c r="E925" t="s">
        <v>696</v>
      </c>
    </row>
    <row r="926" spans="1:5" hidden="1" x14ac:dyDescent="0.25">
      <c r="A926">
        <v>18</v>
      </c>
      <c r="B926">
        <v>13</v>
      </c>
      <c r="C926" t="s">
        <v>39</v>
      </c>
      <c r="D926" s="4">
        <v>0</v>
      </c>
      <c r="E926" t="s">
        <v>39</v>
      </c>
    </row>
    <row r="927" spans="1:5" hidden="1" x14ac:dyDescent="0.25">
      <c r="A927">
        <v>18</v>
      </c>
      <c r="B927">
        <v>13</v>
      </c>
      <c r="C927" t="s">
        <v>39</v>
      </c>
      <c r="D927" s="4">
        <v>0</v>
      </c>
      <c r="E927" t="s">
        <v>39</v>
      </c>
    </row>
    <row r="928" spans="1:5" hidden="1" x14ac:dyDescent="0.25">
      <c r="A928">
        <v>18</v>
      </c>
      <c r="B928">
        <v>16</v>
      </c>
      <c r="C928" t="s">
        <v>39</v>
      </c>
      <c r="D928" s="4">
        <v>0</v>
      </c>
      <c r="E928" t="s">
        <v>39</v>
      </c>
    </row>
    <row r="929" spans="1:5" x14ac:dyDescent="0.25">
      <c r="A929">
        <v>18</v>
      </c>
      <c r="B929">
        <v>16</v>
      </c>
      <c r="C929" t="s">
        <v>697</v>
      </c>
      <c r="D929" s="5">
        <v>0</v>
      </c>
      <c r="E929" t="s">
        <v>2478</v>
      </c>
    </row>
    <row r="930" spans="1:5" hidden="1" x14ac:dyDescent="0.25">
      <c r="A930">
        <v>18</v>
      </c>
      <c r="B930">
        <v>16</v>
      </c>
      <c r="C930" t="s">
        <v>39</v>
      </c>
      <c r="D930" s="4">
        <v>0</v>
      </c>
      <c r="E930" t="s">
        <v>39</v>
      </c>
    </row>
    <row r="931" spans="1:5" x14ac:dyDescent="0.25">
      <c r="A931">
        <v>18</v>
      </c>
      <c r="B931">
        <v>16</v>
      </c>
      <c r="C931" t="s">
        <v>698</v>
      </c>
      <c r="D931" s="5">
        <v>0</v>
      </c>
      <c r="E931" t="s">
        <v>699</v>
      </c>
    </row>
    <row r="932" spans="1:5" hidden="1" x14ac:dyDescent="0.25">
      <c r="A932">
        <v>18</v>
      </c>
      <c r="B932">
        <v>16</v>
      </c>
      <c r="C932" t="s">
        <v>39</v>
      </c>
      <c r="D932" s="4">
        <v>0</v>
      </c>
      <c r="E932" t="s">
        <v>39</v>
      </c>
    </row>
    <row r="933" spans="1:5" x14ac:dyDescent="0.25">
      <c r="A933">
        <v>18</v>
      </c>
      <c r="B933">
        <v>16</v>
      </c>
      <c r="C933" t="s">
        <v>700</v>
      </c>
      <c r="D933" s="5">
        <v>0</v>
      </c>
      <c r="E933" t="s">
        <v>701</v>
      </c>
    </row>
    <row r="934" spans="1:5" hidden="1" x14ac:dyDescent="0.25">
      <c r="A934">
        <v>18</v>
      </c>
      <c r="B934">
        <v>16</v>
      </c>
      <c r="C934" t="s">
        <v>39</v>
      </c>
      <c r="D934" s="4">
        <v>0</v>
      </c>
      <c r="E934" t="s">
        <v>39</v>
      </c>
    </row>
    <row r="935" spans="1:5" hidden="1" x14ac:dyDescent="0.25">
      <c r="A935">
        <v>18</v>
      </c>
      <c r="B935">
        <v>20</v>
      </c>
      <c r="C935" t="s">
        <v>39</v>
      </c>
      <c r="D935" s="4">
        <v>0</v>
      </c>
      <c r="E935" t="s">
        <v>39</v>
      </c>
    </row>
    <row r="936" spans="1:5" x14ac:dyDescent="0.25">
      <c r="A936">
        <v>18</v>
      </c>
      <c r="B936">
        <v>20</v>
      </c>
      <c r="C936" t="s">
        <v>702</v>
      </c>
      <c r="D936" s="5">
        <v>0</v>
      </c>
      <c r="E936" t="s">
        <v>703</v>
      </c>
    </row>
    <row r="937" spans="1:5" hidden="1" x14ac:dyDescent="0.25">
      <c r="A937">
        <v>18</v>
      </c>
      <c r="B937">
        <v>20</v>
      </c>
      <c r="C937" t="s">
        <v>39</v>
      </c>
      <c r="D937" s="4">
        <v>0</v>
      </c>
      <c r="E937" t="s">
        <v>39</v>
      </c>
    </row>
    <row r="938" spans="1:5" x14ac:dyDescent="0.25">
      <c r="A938">
        <v>18</v>
      </c>
      <c r="B938">
        <v>20</v>
      </c>
      <c r="C938" t="s">
        <v>704</v>
      </c>
      <c r="D938" s="5">
        <v>0</v>
      </c>
      <c r="E938" t="s">
        <v>705</v>
      </c>
    </row>
    <row r="939" spans="1:5" hidden="1" x14ac:dyDescent="0.25">
      <c r="A939">
        <v>18</v>
      </c>
      <c r="B939">
        <v>20</v>
      </c>
      <c r="C939" t="s">
        <v>39</v>
      </c>
      <c r="D939" s="4">
        <v>0</v>
      </c>
      <c r="E939" t="s">
        <v>39</v>
      </c>
    </row>
    <row r="940" spans="1:5" x14ac:dyDescent="0.25">
      <c r="A940">
        <v>18</v>
      </c>
      <c r="B940">
        <v>20</v>
      </c>
      <c r="C940" t="s">
        <v>706</v>
      </c>
      <c r="D940" s="5">
        <v>60</v>
      </c>
      <c r="E940" t="s">
        <v>707</v>
      </c>
    </row>
    <row r="941" spans="1:5" x14ac:dyDescent="0.25">
      <c r="A941">
        <v>19</v>
      </c>
      <c r="B941">
        <v>1</v>
      </c>
      <c r="C941" t="s">
        <v>710</v>
      </c>
      <c r="D941" s="5">
        <v>0</v>
      </c>
      <c r="E941" t="s">
        <v>711</v>
      </c>
    </row>
    <row r="942" spans="1:5" hidden="1" x14ac:dyDescent="0.25">
      <c r="A942">
        <v>19</v>
      </c>
      <c r="B942">
        <v>1</v>
      </c>
      <c r="C942" t="s">
        <v>39</v>
      </c>
      <c r="D942" s="4">
        <v>0</v>
      </c>
      <c r="E942" t="s">
        <v>39</v>
      </c>
    </row>
    <row r="943" spans="1:5" x14ac:dyDescent="0.25">
      <c r="A943">
        <v>19</v>
      </c>
      <c r="B943">
        <v>1</v>
      </c>
      <c r="C943" t="s">
        <v>712</v>
      </c>
      <c r="D943" s="5">
        <v>0</v>
      </c>
      <c r="E943" t="s">
        <v>2479</v>
      </c>
    </row>
    <row r="944" spans="1:5" hidden="1" x14ac:dyDescent="0.25">
      <c r="A944">
        <v>19</v>
      </c>
      <c r="B944">
        <v>1</v>
      </c>
      <c r="C944" t="s">
        <v>39</v>
      </c>
      <c r="D944" s="4">
        <v>0</v>
      </c>
      <c r="E944" t="s">
        <v>39</v>
      </c>
    </row>
    <row r="945" spans="1:5" x14ac:dyDescent="0.25">
      <c r="A945">
        <v>19</v>
      </c>
      <c r="B945">
        <v>1</v>
      </c>
      <c r="C945" t="s">
        <v>713</v>
      </c>
      <c r="D945" s="5">
        <v>0</v>
      </c>
      <c r="E945" t="s">
        <v>743</v>
      </c>
    </row>
    <row r="946" spans="1:5" hidden="1" x14ac:dyDescent="0.25">
      <c r="A946">
        <v>19</v>
      </c>
      <c r="B946">
        <v>1</v>
      </c>
      <c r="C946" t="s">
        <v>39</v>
      </c>
      <c r="D946" s="4">
        <v>0</v>
      </c>
      <c r="E946" t="s">
        <v>39</v>
      </c>
    </row>
    <row r="947" spans="1:5" hidden="1" x14ac:dyDescent="0.25">
      <c r="A947">
        <v>19</v>
      </c>
      <c r="B947">
        <v>4</v>
      </c>
      <c r="C947" t="s">
        <v>39</v>
      </c>
      <c r="D947" s="4">
        <v>0</v>
      </c>
      <c r="E947" t="s">
        <v>39</v>
      </c>
    </row>
    <row r="948" spans="1:5" x14ac:dyDescent="0.25">
      <c r="A948">
        <v>19</v>
      </c>
      <c r="B948">
        <v>4</v>
      </c>
      <c r="C948" t="s">
        <v>714</v>
      </c>
      <c r="D948" s="5">
        <v>0</v>
      </c>
      <c r="E948" t="s">
        <v>715</v>
      </c>
    </row>
    <row r="949" spans="1:5" hidden="1" x14ac:dyDescent="0.25">
      <c r="A949">
        <v>19</v>
      </c>
      <c r="B949">
        <v>4</v>
      </c>
      <c r="C949" t="s">
        <v>39</v>
      </c>
      <c r="D949" s="4">
        <v>0</v>
      </c>
      <c r="E949" t="s">
        <v>39</v>
      </c>
    </row>
    <row r="950" spans="1:5" x14ac:dyDescent="0.25">
      <c r="A950">
        <v>19</v>
      </c>
      <c r="B950">
        <v>4</v>
      </c>
      <c r="C950" t="s">
        <v>716</v>
      </c>
      <c r="D950" s="5">
        <v>0</v>
      </c>
      <c r="E950" t="s">
        <v>717</v>
      </c>
    </row>
    <row r="951" spans="1:5" hidden="1" x14ac:dyDescent="0.25">
      <c r="A951">
        <v>19</v>
      </c>
      <c r="B951">
        <v>4</v>
      </c>
      <c r="C951" t="s">
        <v>39</v>
      </c>
      <c r="D951" s="4">
        <v>0</v>
      </c>
      <c r="E951" t="s">
        <v>39</v>
      </c>
    </row>
    <row r="952" spans="1:5" x14ac:dyDescent="0.25">
      <c r="A952">
        <v>19</v>
      </c>
      <c r="B952">
        <v>4</v>
      </c>
      <c r="C952" t="s">
        <v>718</v>
      </c>
      <c r="D952" s="5">
        <v>0</v>
      </c>
      <c r="E952" t="s">
        <v>744</v>
      </c>
    </row>
    <row r="953" spans="1:5" hidden="1" x14ac:dyDescent="0.25">
      <c r="A953">
        <v>19</v>
      </c>
      <c r="B953">
        <v>4</v>
      </c>
      <c r="C953" t="s">
        <v>39</v>
      </c>
      <c r="D953" s="4">
        <v>0</v>
      </c>
      <c r="E953" t="s">
        <v>39</v>
      </c>
    </row>
    <row r="954" spans="1:5" hidden="1" x14ac:dyDescent="0.25">
      <c r="A954">
        <v>19</v>
      </c>
      <c r="B954">
        <v>7</v>
      </c>
      <c r="C954" t="s">
        <v>39</v>
      </c>
      <c r="D954" s="4">
        <v>0</v>
      </c>
      <c r="E954" t="s">
        <v>39</v>
      </c>
    </row>
    <row r="955" spans="1:5" x14ac:dyDescent="0.25">
      <c r="A955">
        <v>19</v>
      </c>
      <c r="B955">
        <v>7</v>
      </c>
      <c r="C955" t="s">
        <v>719</v>
      </c>
      <c r="D955" s="5">
        <v>0</v>
      </c>
      <c r="E955" t="s">
        <v>720</v>
      </c>
    </row>
    <row r="956" spans="1:5" hidden="1" x14ac:dyDescent="0.25">
      <c r="A956">
        <v>19</v>
      </c>
      <c r="B956">
        <v>7</v>
      </c>
      <c r="C956" t="s">
        <v>39</v>
      </c>
      <c r="D956" s="4">
        <v>0</v>
      </c>
      <c r="E956" t="s">
        <v>39</v>
      </c>
    </row>
    <row r="957" spans="1:5" x14ac:dyDescent="0.25">
      <c r="A957">
        <v>19</v>
      </c>
      <c r="B957">
        <v>7</v>
      </c>
      <c r="C957" t="s">
        <v>721</v>
      </c>
      <c r="D957" s="5">
        <v>0</v>
      </c>
      <c r="E957" t="s">
        <v>2480</v>
      </c>
    </row>
    <row r="958" spans="1:5" hidden="1" x14ac:dyDescent="0.25">
      <c r="A958">
        <v>19</v>
      </c>
      <c r="B958">
        <v>7</v>
      </c>
      <c r="C958" t="s">
        <v>39</v>
      </c>
      <c r="D958" s="4">
        <v>0</v>
      </c>
      <c r="E958" t="s">
        <v>39</v>
      </c>
    </row>
    <row r="959" spans="1:5" x14ac:dyDescent="0.25">
      <c r="A959">
        <v>19</v>
      </c>
      <c r="B959">
        <v>7</v>
      </c>
      <c r="C959" t="s">
        <v>2481</v>
      </c>
      <c r="D959" s="5">
        <v>0</v>
      </c>
      <c r="E959" t="s">
        <v>722</v>
      </c>
    </row>
    <row r="960" spans="1:5" hidden="1" x14ac:dyDescent="0.25">
      <c r="A960">
        <v>19</v>
      </c>
      <c r="B960">
        <v>7</v>
      </c>
      <c r="C960" t="s">
        <v>39</v>
      </c>
      <c r="D960" s="4">
        <v>0</v>
      </c>
      <c r="E960" t="s">
        <v>39</v>
      </c>
    </row>
    <row r="961" spans="1:5" hidden="1" x14ac:dyDescent="0.25">
      <c r="A961">
        <v>19</v>
      </c>
      <c r="B961">
        <v>10</v>
      </c>
      <c r="C961" t="s">
        <v>39</v>
      </c>
      <c r="D961" s="4">
        <v>0</v>
      </c>
      <c r="E961" t="s">
        <v>39</v>
      </c>
    </row>
    <row r="962" spans="1:5" x14ac:dyDescent="0.25">
      <c r="A962">
        <v>19</v>
      </c>
      <c r="B962">
        <v>10</v>
      </c>
      <c r="C962" t="s">
        <v>723</v>
      </c>
      <c r="D962" s="5">
        <v>120</v>
      </c>
      <c r="E962" t="s">
        <v>724</v>
      </c>
    </row>
    <row r="963" spans="1:5" hidden="1" x14ac:dyDescent="0.25">
      <c r="A963">
        <v>19</v>
      </c>
      <c r="B963">
        <v>10</v>
      </c>
      <c r="C963" t="s">
        <v>39</v>
      </c>
      <c r="D963" s="4">
        <v>0</v>
      </c>
      <c r="E963" t="s">
        <v>39</v>
      </c>
    </row>
    <row r="964" spans="1:5" hidden="1" x14ac:dyDescent="0.25">
      <c r="A964">
        <v>19</v>
      </c>
      <c r="B964">
        <v>10</v>
      </c>
      <c r="C964" t="s">
        <v>39</v>
      </c>
      <c r="D964" s="4">
        <v>0</v>
      </c>
      <c r="E964" t="s">
        <v>39</v>
      </c>
    </row>
    <row r="965" spans="1:5" x14ac:dyDescent="0.25">
      <c r="A965">
        <v>19</v>
      </c>
      <c r="B965">
        <v>10</v>
      </c>
      <c r="C965" t="s">
        <v>725</v>
      </c>
      <c r="D965" s="5">
        <v>60</v>
      </c>
      <c r="E965" t="s">
        <v>726</v>
      </c>
    </row>
    <row r="966" spans="1:5" hidden="1" x14ac:dyDescent="0.25">
      <c r="A966">
        <v>19</v>
      </c>
      <c r="B966">
        <v>10</v>
      </c>
      <c r="C966" t="s">
        <v>39</v>
      </c>
      <c r="D966" s="4">
        <v>0</v>
      </c>
      <c r="E966" t="s">
        <v>39</v>
      </c>
    </row>
    <row r="967" spans="1:5" hidden="1" x14ac:dyDescent="0.25">
      <c r="A967">
        <v>19</v>
      </c>
      <c r="B967">
        <v>10</v>
      </c>
      <c r="C967" t="s">
        <v>39</v>
      </c>
      <c r="D967" s="4">
        <v>0</v>
      </c>
      <c r="E967" t="s">
        <v>39</v>
      </c>
    </row>
    <row r="968" spans="1:5" hidden="1" x14ac:dyDescent="0.25">
      <c r="A968">
        <v>19</v>
      </c>
      <c r="B968">
        <v>13</v>
      </c>
      <c r="C968" t="s">
        <v>39</v>
      </c>
      <c r="D968" s="4">
        <v>0</v>
      </c>
      <c r="E968" t="s">
        <v>39</v>
      </c>
    </row>
    <row r="969" spans="1:5" x14ac:dyDescent="0.25">
      <c r="A969">
        <v>19</v>
      </c>
      <c r="B969">
        <v>13</v>
      </c>
      <c r="C969" t="s">
        <v>727</v>
      </c>
      <c r="D969" s="5">
        <v>0</v>
      </c>
      <c r="E969" t="s">
        <v>728</v>
      </c>
    </row>
    <row r="970" spans="1:5" hidden="1" x14ac:dyDescent="0.25">
      <c r="A970">
        <v>19</v>
      </c>
      <c r="B970">
        <v>13</v>
      </c>
      <c r="C970" t="s">
        <v>39</v>
      </c>
      <c r="D970" s="4">
        <v>0</v>
      </c>
      <c r="E970" t="s">
        <v>39</v>
      </c>
    </row>
    <row r="971" spans="1:5" x14ac:dyDescent="0.25">
      <c r="A971">
        <v>19</v>
      </c>
      <c r="B971">
        <v>13</v>
      </c>
      <c r="C971" t="s">
        <v>729</v>
      </c>
      <c r="D971" s="5">
        <v>0</v>
      </c>
      <c r="E971" t="s">
        <v>730</v>
      </c>
    </row>
    <row r="972" spans="1:5" hidden="1" x14ac:dyDescent="0.25">
      <c r="A972">
        <v>19</v>
      </c>
      <c r="B972">
        <v>13</v>
      </c>
      <c r="C972" t="s">
        <v>39</v>
      </c>
      <c r="D972" s="4">
        <v>0</v>
      </c>
      <c r="E972" t="s">
        <v>39</v>
      </c>
    </row>
    <row r="973" spans="1:5" x14ac:dyDescent="0.25">
      <c r="A973">
        <v>19</v>
      </c>
      <c r="B973">
        <v>13</v>
      </c>
      <c r="C973" t="s">
        <v>731</v>
      </c>
      <c r="D973" s="5">
        <v>0</v>
      </c>
      <c r="E973" t="s">
        <v>732</v>
      </c>
    </row>
    <row r="974" spans="1:5" hidden="1" x14ac:dyDescent="0.25">
      <c r="A974">
        <v>19</v>
      </c>
      <c r="B974">
        <v>13</v>
      </c>
      <c r="C974" t="s">
        <v>39</v>
      </c>
      <c r="D974" s="4">
        <v>0</v>
      </c>
      <c r="E974" t="s">
        <v>39</v>
      </c>
    </row>
    <row r="975" spans="1:5" hidden="1" x14ac:dyDescent="0.25">
      <c r="A975">
        <v>19</v>
      </c>
      <c r="B975">
        <v>16</v>
      </c>
      <c r="C975" t="s">
        <v>39</v>
      </c>
      <c r="D975" s="4">
        <v>0</v>
      </c>
      <c r="E975" t="s">
        <v>39</v>
      </c>
    </row>
    <row r="976" spans="1:5" x14ac:dyDescent="0.25">
      <c r="A976">
        <v>19</v>
      </c>
      <c r="B976">
        <v>16</v>
      </c>
      <c r="C976" t="s">
        <v>733</v>
      </c>
      <c r="D976" s="5">
        <v>0</v>
      </c>
      <c r="E976" t="s">
        <v>734</v>
      </c>
    </row>
    <row r="977" spans="1:5" hidden="1" x14ac:dyDescent="0.25">
      <c r="A977">
        <v>19</v>
      </c>
      <c r="B977">
        <v>16</v>
      </c>
      <c r="C977" t="s">
        <v>39</v>
      </c>
      <c r="D977" s="4">
        <v>0</v>
      </c>
      <c r="E977" t="s">
        <v>39</v>
      </c>
    </row>
    <row r="978" spans="1:5" x14ac:dyDescent="0.25">
      <c r="A978">
        <v>19</v>
      </c>
      <c r="B978">
        <v>16</v>
      </c>
      <c r="C978" t="s">
        <v>735</v>
      </c>
      <c r="D978" s="5">
        <v>0</v>
      </c>
      <c r="E978" t="s">
        <v>736</v>
      </c>
    </row>
    <row r="979" spans="1:5" hidden="1" x14ac:dyDescent="0.25">
      <c r="A979">
        <v>19</v>
      </c>
      <c r="B979">
        <v>16</v>
      </c>
      <c r="C979" t="s">
        <v>39</v>
      </c>
      <c r="D979" s="4">
        <v>0</v>
      </c>
      <c r="E979" t="s">
        <v>39</v>
      </c>
    </row>
    <row r="980" spans="1:5" x14ac:dyDescent="0.25">
      <c r="A980">
        <v>19</v>
      </c>
      <c r="B980">
        <v>16</v>
      </c>
      <c r="C980" t="s">
        <v>737</v>
      </c>
      <c r="D980" s="5">
        <v>0</v>
      </c>
      <c r="E980" t="s">
        <v>738</v>
      </c>
    </row>
    <row r="981" spans="1:5" hidden="1" x14ac:dyDescent="0.25">
      <c r="A981">
        <v>19</v>
      </c>
      <c r="B981">
        <v>16</v>
      </c>
      <c r="C981" t="s">
        <v>39</v>
      </c>
      <c r="D981" s="4">
        <v>0</v>
      </c>
      <c r="E981" t="s">
        <v>39</v>
      </c>
    </row>
    <row r="982" spans="1:5" hidden="1" x14ac:dyDescent="0.25">
      <c r="A982">
        <v>19</v>
      </c>
      <c r="B982">
        <v>20</v>
      </c>
      <c r="C982" t="s">
        <v>39</v>
      </c>
      <c r="D982" s="4">
        <v>0</v>
      </c>
      <c r="E982" t="s">
        <v>39</v>
      </c>
    </row>
    <row r="983" spans="1:5" x14ac:dyDescent="0.25">
      <c r="A983">
        <v>19</v>
      </c>
      <c r="B983">
        <v>20</v>
      </c>
      <c r="C983" t="s">
        <v>739</v>
      </c>
      <c r="D983" s="5">
        <v>0</v>
      </c>
      <c r="E983" t="s">
        <v>740</v>
      </c>
    </row>
    <row r="984" spans="1:5" hidden="1" x14ac:dyDescent="0.25">
      <c r="A984">
        <v>19</v>
      </c>
      <c r="B984">
        <v>20</v>
      </c>
      <c r="C984" t="s">
        <v>39</v>
      </c>
      <c r="D984" s="4">
        <v>0</v>
      </c>
      <c r="E984" t="s">
        <v>39</v>
      </c>
    </row>
    <row r="985" spans="1:5" x14ac:dyDescent="0.25">
      <c r="A985">
        <v>19</v>
      </c>
      <c r="B985">
        <v>20</v>
      </c>
      <c r="C985" t="s">
        <v>741</v>
      </c>
      <c r="D985" s="5">
        <v>0</v>
      </c>
      <c r="E985" t="s">
        <v>742</v>
      </c>
    </row>
    <row r="986" spans="1:5" hidden="1" x14ac:dyDescent="0.25">
      <c r="A986">
        <v>19</v>
      </c>
      <c r="B986">
        <v>20</v>
      </c>
      <c r="C986" t="s">
        <v>39</v>
      </c>
      <c r="D986" s="4">
        <v>0</v>
      </c>
      <c r="E986" t="s">
        <v>39</v>
      </c>
    </row>
    <row r="987" spans="1:5" x14ac:dyDescent="0.25">
      <c r="A987">
        <v>19</v>
      </c>
      <c r="B987">
        <v>20</v>
      </c>
      <c r="C987" t="s">
        <v>120</v>
      </c>
      <c r="D987" s="5">
        <v>0</v>
      </c>
      <c r="E987" t="s">
        <v>121</v>
      </c>
    </row>
    <row r="988" spans="1:5" hidden="1" x14ac:dyDescent="0.25">
      <c r="A988">
        <v>19</v>
      </c>
      <c r="B988">
        <v>20</v>
      </c>
      <c r="C988" t="s">
        <v>39</v>
      </c>
      <c r="D988" s="4">
        <v>0</v>
      </c>
      <c r="E988" t="s">
        <v>39</v>
      </c>
    </row>
    <row r="989" spans="1:5" x14ac:dyDescent="0.25">
      <c r="A989">
        <v>19</v>
      </c>
      <c r="B989">
        <v>20</v>
      </c>
      <c r="C989" t="s">
        <v>193</v>
      </c>
      <c r="D989" s="5">
        <v>70</v>
      </c>
      <c r="E989" t="s">
        <v>194</v>
      </c>
    </row>
    <row r="990" spans="1:5" x14ac:dyDescent="0.25">
      <c r="A990">
        <v>20</v>
      </c>
      <c r="B990">
        <v>1</v>
      </c>
      <c r="C990" t="s">
        <v>2482</v>
      </c>
      <c r="D990" s="5">
        <v>0</v>
      </c>
      <c r="E990" t="s">
        <v>745</v>
      </c>
    </row>
    <row r="991" spans="1:5" hidden="1" x14ac:dyDescent="0.25">
      <c r="A991">
        <v>20</v>
      </c>
      <c r="B991">
        <v>1</v>
      </c>
      <c r="C991" t="s">
        <v>39</v>
      </c>
      <c r="D991" s="4">
        <v>0</v>
      </c>
      <c r="E991" t="s">
        <v>39</v>
      </c>
    </row>
    <row r="992" spans="1:5" x14ac:dyDescent="0.25">
      <c r="A992">
        <v>20</v>
      </c>
      <c r="B992">
        <v>1</v>
      </c>
      <c r="C992" t="s">
        <v>746</v>
      </c>
      <c r="D992" s="5">
        <v>0</v>
      </c>
      <c r="E992" t="s">
        <v>747</v>
      </c>
    </row>
    <row r="993" spans="1:5" hidden="1" x14ac:dyDescent="0.25">
      <c r="A993">
        <v>20</v>
      </c>
      <c r="B993">
        <v>1</v>
      </c>
      <c r="C993" t="s">
        <v>39</v>
      </c>
      <c r="D993" s="4">
        <v>0</v>
      </c>
      <c r="E993" t="s">
        <v>39</v>
      </c>
    </row>
    <row r="994" spans="1:5" x14ac:dyDescent="0.25">
      <c r="A994">
        <v>20</v>
      </c>
      <c r="B994">
        <v>1</v>
      </c>
      <c r="C994" t="s">
        <v>748</v>
      </c>
      <c r="D994" s="5">
        <v>0</v>
      </c>
      <c r="E994" t="s">
        <v>749</v>
      </c>
    </row>
    <row r="995" spans="1:5" hidden="1" x14ac:dyDescent="0.25">
      <c r="A995">
        <v>20</v>
      </c>
      <c r="B995">
        <v>1</v>
      </c>
      <c r="C995" t="s">
        <v>39</v>
      </c>
      <c r="D995" s="4">
        <v>0</v>
      </c>
      <c r="E995" t="s">
        <v>39</v>
      </c>
    </row>
    <row r="996" spans="1:5" x14ac:dyDescent="0.25">
      <c r="A996">
        <v>20</v>
      </c>
      <c r="B996">
        <v>1</v>
      </c>
      <c r="C996" t="s">
        <v>2483</v>
      </c>
      <c r="D996" s="5">
        <v>0</v>
      </c>
      <c r="E996" t="s">
        <v>784</v>
      </c>
    </row>
    <row r="997" spans="1:5" hidden="1" x14ac:dyDescent="0.25">
      <c r="A997">
        <v>20</v>
      </c>
      <c r="B997">
        <v>1</v>
      </c>
      <c r="C997" t="s">
        <v>39</v>
      </c>
      <c r="D997" s="4">
        <v>0</v>
      </c>
      <c r="E997" t="s">
        <v>39</v>
      </c>
    </row>
    <row r="998" spans="1:5" hidden="1" x14ac:dyDescent="0.25">
      <c r="A998">
        <v>20</v>
      </c>
      <c r="B998">
        <v>4</v>
      </c>
      <c r="C998" t="s">
        <v>39</v>
      </c>
      <c r="D998" s="4">
        <v>0</v>
      </c>
      <c r="E998" t="s">
        <v>39</v>
      </c>
    </row>
    <row r="999" spans="1:5" x14ac:dyDescent="0.25">
      <c r="A999">
        <v>20</v>
      </c>
      <c r="B999">
        <v>4</v>
      </c>
      <c r="C999" t="s">
        <v>750</v>
      </c>
      <c r="D999" s="5">
        <v>0</v>
      </c>
      <c r="E999" t="s">
        <v>751</v>
      </c>
    </row>
    <row r="1000" spans="1:5" hidden="1" x14ac:dyDescent="0.25">
      <c r="A1000">
        <v>20</v>
      </c>
      <c r="B1000">
        <v>4</v>
      </c>
      <c r="C1000" t="s">
        <v>39</v>
      </c>
      <c r="D1000" s="4">
        <v>0</v>
      </c>
      <c r="E1000" t="s">
        <v>39</v>
      </c>
    </row>
    <row r="1001" spans="1:5" x14ac:dyDescent="0.25">
      <c r="A1001">
        <v>20</v>
      </c>
      <c r="B1001">
        <v>4</v>
      </c>
      <c r="C1001" t="s">
        <v>752</v>
      </c>
      <c r="D1001" s="5">
        <v>0</v>
      </c>
      <c r="E1001" t="s">
        <v>753</v>
      </c>
    </row>
    <row r="1002" spans="1:5" hidden="1" x14ac:dyDescent="0.25">
      <c r="A1002">
        <v>20</v>
      </c>
      <c r="B1002">
        <v>4</v>
      </c>
      <c r="C1002" t="s">
        <v>39</v>
      </c>
      <c r="D1002" s="4">
        <v>0</v>
      </c>
      <c r="E1002" t="s">
        <v>39</v>
      </c>
    </row>
    <row r="1003" spans="1:5" x14ac:dyDescent="0.25">
      <c r="A1003">
        <v>20</v>
      </c>
      <c r="B1003">
        <v>4</v>
      </c>
      <c r="C1003" t="s">
        <v>754</v>
      </c>
      <c r="D1003" s="5">
        <v>0</v>
      </c>
      <c r="E1003" t="s">
        <v>755</v>
      </c>
    </row>
    <row r="1004" spans="1:5" hidden="1" x14ac:dyDescent="0.25">
      <c r="A1004">
        <v>20</v>
      </c>
      <c r="B1004">
        <v>4</v>
      </c>
      <c r="C1004" t="s">
        <v>39</v>
      </c>
      <c r="D1004" s="4">
        <v>0</v>
      </c>
      <c r="E1004" t="s">
        <v>39</v>
      </c>
    </row>
    <row r="1005" spans="1:5" hidden="1" x14ac:dyDescent="0.25">
      <c r="A1005">
        <v>20</v>
      </c>
      <c r="B1005">
        <v>7</v>
      </c>
      <c r="C1005" t="s">
        <v>39</v>
      </c>
      <c r="D1005" s="4">
        <v>0</v>
      </c>
      <c r="E1005" t="s">
        <v>39</v>
      </c>
    </row>
    <row r="1006" spans="1:5" x14ac:dyDescent="0.25">
      <c r="A1006">
        <v>20</v>
      </c>
      <c r="B1006">
        <v>7</v>
      </c>
      <c r="C1006" t="s">
        <v>756</v>
      </c>
      <c r="D1006" s="5">
        <v>0</v>
      </c>
      <c r="E1006" t="s">
        <v>757</v>
      </c>
    </row>
    <row r="1007" spans="1:5" hidden="1" x14ac:dyDescent="0.25">
      <c r="A1007">
        <v>20</v>
      </c>
      <c r="B1007">
        <v>7</v>
      </c>
      <c r="C1007" t="s">
        <v>39</v>
      </c>
      <c r="D1007" s="4">
        <v>0</v>
      </c>
      <c r="E1007" t="s">
        <v>39</v>
      </c>
    </row>
    <row r="1008" spans="1:5" x14ac:dyDescent="0.25">
      <c r="A1008">
        <v>20</v>
      </c>
      <c r="B1008">
        <v>7</v>
      </c>
      <c r="C1008" t="s">
        <v>758</v>
      </c>
      <c r="D1008" s="5">
        <v>0</v>
      </c>
      <c r="E1008" t="s">
        <v>759</v>
      </c>
    </row>
    <row r="1009" spans="1:5" hidden="1" x14ac:dyDescent="0.25">
      <c r="A1009">
        <v>20</v>
      </c>
      <c r="B1009">
        <v>7</v>
      </c>
      <c r="C1009" t="s">
        <v>39</v>
      </c>
      <c r="D1009" s="4">
        <v>0</v>
      </c>
      <c r="E1009" t="s">
        <v>39</v>
      </c>
    </row>
    <row r="1010" spans="1:5" x14ac:dyDescent="0.25">
      <c r="A1010">
        <v>20</v>
      </c>
      <c r="B1010">
        <v>7</v>
      </c>
      <c r="C1010" t="s">
        <v>760</v>
      </c>
      <c r="D1010" s="5">
        <v>0</v>
      </c>
      <c r="E1010" t="s">
        <v>761</v>
      </c>
    </row>
    <row r="1011" spans="1:5" hidden="1" x14ac:dyDescent="0.25">
      <c r="A1011">
        <v>20</v>
      </c>
      <c r="B1011">
        <v>7</v>
      </c>
      <c r="C1011" t="s">
        <v>39</v>
      </c>
      <c r="D1011" s="4">
        <v>0</v>
      </c>
      <c r="E1011" t="s">
        <v>39</v>
      </c>
    </row>
    <row r="1012" spans="1:5" hidden="1" x14ac:dyDescent="0.25">
      <c r="A1012">
        <v>20</v>
      </c>
      <c r="B1012">
        <v>10</v>
      </c>
      <c r="C1012" t="s">
        <v>39</v>
      </c>
      <c r="D1012" s="4">
        <v>0</v>
      </c>
      <c r="E1012" t="s">
        <v>39</v>
      </c>
    </row>
    <row r="1013" spans="1:5" x14ac:dyDescent="0.25">
      <c r="A1013">
        <v>20</v>
      </c>
      <c r="B1013">
        <v>10</v>
      </c>
      <c r="C1013" t="s">
        <v>762</v>
      </c>
      <c r="D1013" s="5">
        <v>0</v>
      </c>
      <c r="E1013" t="s">
        <v>763</v>
      </c>
    </row>
    <row r="1014" spans="1:5" hidden="1" x14ac:dyDescent="0.25">
      <c r="A1014">
        <v>20</v>
      </c>
      <c r="B1014">
        <v>10</v>
      </c>
      <c r="C1014" t="s">
        <v>39</v>
      </c>
      <c r="D1014" s="4">
        <v>0</v>
      </c>
      <c r="E1014" t="s">
        <v>39</v>
      </c>
    </row>
    <row r="1015" spans="1:5" x14ac:dyDescent="0.25">
      <c r="A1015">
        <v>20</v>
      </c>
      <c r="B1015">
        <v>10</v>
      </c>
      <c r="C1015" t="s">
        <v>764</v>
      </c>
      <c r="D1015" s="5">
        <v>0</v>
      </c>
      <c r="E1015" t="s">
        <v>2484</v>
      </c>
    </row>
    <row r="1016" spans="1:5" hidden="1" x14ac:dyDescent="0.25">
      <c r="A1016">
        <v>20</v>
      </c>
      <c r="B1016">
        <v>10</v>
      </c>
      <c r="C1016" t="s">
        <v>39</v>
      </c>
      <c r="D1016" s="4">
        <v>0</v>
      </c>
      <c r="E1016" t="s">
        <v>39</v>
      </c>
    </row>
    <row r="1017" spans="1:5" hidden="1" x14ac:dyDescent="0.25">
      <c r="A1017">
        <v>20</v>
      </c>
      <c r="B1017">
        <v>13</v>
      </c>
      <c r="C1017" t="s">
        <v>39</v>
      </c>
      <c r="D1017" s="4">
        <v>0</v>
      </c>
      <c r="E1017" t="s">
        <v>39</v>
      </c>
    </row>
    <row r="1018" spans="1:5" x14ac:dyDescent="0.25">
      <c r="A1018">
        <v>20</v>
      </c>
      <c r="B1018">
        <v>13</v>
      </c>
      <c r="C1018" t="s">
        <v>765</v>
      </c>
      <c r="D1018" s="5">
        <v>0</v>
      </c>
      <c r="E1018" t="s">
        <v>766</v>
      </c>
    </row>
    <row r="1019" spans="1:5" hidden="1" x14ac:dyDescent="0.25">
      <c r="A1019">
        <v>20</v>
      </c>
      <c r="B1019">
        <v>13</v>
      </c>
      <c r="C1019" t="s">
        <v>39</v>
      </c>
      <c r="D1019" s="4">
        <v>0</v>
      </c>
      <c r="E1019" t="s">
        <v>39</v>
      </c>
    </row>
    <row r="1020" spans="1:5" x14ac:dyDescent="0.25">
      <c r="A1020">
        <v>20</v>
      </c>
      <c r="B1020">
        <v>13</v>
      </c>
      <c r="C1020" t="s">
        <v>767</v>
      </c>
      <c r="D1020" s="5">
        <v>0</v>
      </c>
      <c r="E1020" t="s">
        <v>768</v>
      </c>
    </row>
    <row r="1021" spans="1:5" hidden="1" x14ac:dyDescent="0.25">
      <c r="A1021">
        <v>20</v>
      </c>
      <c r="B1021">
        <v>13</v>
      </c>
      <c r="C1021" t="s">
        <v>39</v>
      </c>
      <c r="D1021" s="4">
        <v>0</v>
      </c>
      <c r="E1021" t="s">
        <v>39</v>
      </c>
    </row>
    <row r="1022" spans="1:5" x14ac:dyDescent="0.25">
      <c r="A1022">
        <v>20</v>
      </c>
      <c r="B1022">
        <v>13</v>
      </c>
      <c r="C1022" t="s">
        <v>769</v>
      </c>
      <c r="D1022" s="5">
        <v>60</v>
      </c>
      <c r="E1022" t="s">
        <v>2485</v>
      </c>
    </row>
    <row r="1023" spans="1:5" hidden="1" x14ac:dyDescent="0.25">
      <c r="A1023">
        <v>20</v>
      </c>
      <c r="B1023">
        <v>13</v>
      </c>
      <c r="C1023" t="s">
        <v>39</v>
      </c>
      <c r="D1023" s="4">
        <v>0</v>
      </c>
      <c r="E1023" t="s">
        <v>39</v>
      </c>
    </row>
    <row r="1024" spans="1:5" hidden="1" x14ac:dyDescent="0.25">
      <c r="A1024">
        <v>20</v>
      </c>
      <c r="B1024">
        <v>13</v>
      </c>
      <c r="C1024" t="s">
        <v>39</v>
      </c>
      <c r="D1024" s="4">
        <v>0</v>
      </c>
      <c r="E1024" t="s">
        <v>39</v>
      </c>
    </row>
    <row r="1025" spans="1:5" hidden="1" x14ac:dyDescent="0.25">
      <c r="A1025">
        <v>20</v>
      </c>
      <c r="B1025">
        <v>16</v>
      </c>
      <c r="C1025" t="s">
        <v>39</v>
      </c>
      <c r="D1025" s="4">
        <v>0</v>
      </c>
      <c r="E1025" t="s">
        <v>39</v>
      </c>
    </row>
    <row r="1026" spans="1:5" x14ac:dyDescent="0.25">
      <c r="A1026">
        <v>20</v>
      </c>
      <c r="B1026">
        <v>16</v>
      </c>
      <c r="C1026" t="s">
        <v>770</v>
      </c>
      <c r="D1026" s="5">
        <v>0</v>
      </c>
      <c r="E1026" t="s">
        <v>771</v>
      </c>
    </row>
    <row r="1027" spans="1:5" hidden="1" x14ac:dyDescent="0.25">
      <c r="A1027">
        <v>20</v>
      </c>
      <c r="B1027">
        <v>16</v>
      </c>
      <c r="C1027" t="s">
        <v>39</v>
      </c>
      <c r="D1027" s="4">
        <v>0</v>
      </c>
      <c r="E1027" t="s">
        <v>39</v>
      </c>
    </row>
    <row r="1028" spans="1:5" x14ac:dyDescent="0.25">
      <c r="A1028">
        <v>20</v>
      </c>
      <c r="B1028">
        <v>16</v>
      </c>
      <c r="C1028" t="s">
        <v>772</v>
      </c>
      <c r="D1028" s="5">
        <v>0</v>
      </c>
      <c r="E1028" t="s">
        <v>773</v>
      </c>
    </row>
    <row r="1029" spans="1:5" hidden="1" x14ac:dyDescent="0.25">
      <c r="A1029">
        <v>20</v>
      </c>
      <c r="B1029">
        <v>16</v>
      </c>
      <c r="C1029" t="s">
        <v>39</v>
      </c>
      <c r="D1029" s="4">
        <v>0</v>
      </c>
      <c r="E1029" t="s">
        <v>39</v>
      </c>
    </row>
    <row r="1030" spans="1:5" x14ac:dyDescent="0.25">
      <c r="A1030">
        <v>20</v>
      </c>
      <c r="B1030">
        <v>16</v>
      </c>
      <c r="C1030" t="s">
        <v>774</v>
      </c>
      <c r="D1030" s="5">
        <v>0</v>
      </c>
      <c r="E1030" t="s">
        <v>775</v>
      </c>
    </row>
    <row r="1031" spans="1:5" hidden="1" x14ac:dyDescent="0.25">
      <c r="A1031">
        <v>20</v>
      </c>
      <c r="B1031">
        <v>16</v>
      </c>
      <c r="C1031" t="s">
        <v>39</v>
      </c>
      <c r="D1031" s="4">
        <v>0</v>
      </c>
      <c r="E1031" t="s">
        <v>39</v>
      </c>
    </row>
    <row r="1032" spans="1:5" hidden="1" x14ac:dyDescent="0.25">
      <c r="A1032">
        <v>20</v>
      </c>
      <c r="B1032">
        <v>20</v>
      </c>
      <c r="C1032" t="s">
        <v>39</v>
      </c>
      <c r="D1032" s="4">
        <v>0</v>
      </c>
      <c r="E1032" t="s">
        <v>39</v>
      </c>
    </row>
    <row r="1033" spans="1:5" x14ac:dyDescent="0.25">
      <c r="A1033">
        <v>20</v>
      </c>
      <c r="B1033">
        <v>20</v>
      </c>
      <c r="C1033" t="s">
        <v>776</v>
      </c>
      <c r="D1033" s="5">
        <v>0</v>
      </c>
      <c r="E1033" t="s">
        <v>777</v>
      </c>
    </row>
    <row r="1034" spans="1:5" hidden="1" x14ac:dyDescent="0.25">
      <c r="A1034">
        <v>20</v>
      </c>
      <c r="B1034">
        <v>20</v>
      </c>
      <c r="C1034" t="s">
        <v>39</v>
      </c>
      <c r="D1034" s="4">
        <v>0</v>
      </c>
      <c r="E1034" t="s">
        <v>39</v>
      </c>
    </row>
    <row r="1035" spans="1:5" x14ac:dyDescent="0.25">
      <c r="A1035">
        <v>20</v>
      </c>
      <c r="B1035">
        <v>20</v>
      </c>
      <c r="C1035" t="s">
        <v>778</v>
      </c>
      <c r="D1035" s="5">
        <v>0</v>
      </c>
      <c r="E1035" t="s">
        <v>779</v>
      </c>
    </row>
    <row r="1036" spans="1:5" hidden="1" x14ac:dyDescent="0.25">
      <c r="A1036">
        <v>20</v>
      </c>
      <c r="B1036">
        <v>20</v>
      </c>
      <c r="C1036" t="s">
        <v>39</v>
      </c>
      <c r="D1036" s="4">
        <v>0</v>
      </c>
      <c r="E1036" t="s">
        <v>39</v>
      </c>
    </row>
    <row r="1037" spans="1:5" x14ac:dyDescent="0.25">
      <c r="A1037">
        <v>20</v>
      </c>
      <c r="B1037">
        <v>20</v>
      </c>
      <c r="C1037" t="s">
        <v>780</v>
      </c>
      <c r="D1037" s="5">
        <v>20</v>
      </c>
      <c r="E1037" t="s">
        <v>781</v>
      </c>
    </row>
    <row r="1038" spans="1:5" hidden="1" x14ac:dyDescent="0.25">
      <c r="A1038">
        <v>20</v>
      </c>
      <c r="B1038">
        <v>20</v>
      </c>
      <c r="C1038" t="s">
        <v>39</v>
      </c>
      <c r="D1038" s="4">
        <v>0</v>
      </c>
      <c r="E1038" t="s">
        <v>39</v>
      </c>
    </row>
    <row r="1039" spans="1:5" hidden="1" x14ac:dyDescent="0.25">
      <c r="A1039">
        <v>20</v>
      </c>
      <c r="B1039">
        <v>20</v>
      </c>
      <c r="C1039" t="s">
        <v>39</v>
      </c>
      <c r="D1039" s="4">
        <v>0</v>
      </c>
      <c r="E1039" t="s">
        <v>39</v>
      </c>
    </row>
    <row r="1040" spans="1:5" x14ac:dyDescent="0.25">
      <c r="A1040">
        <v>20</v>
      </c>
      <c r="B1040">
        <v>20</v>
      </c>
      <c r="C1040" t="s">
        <v>782</v>
      </c>
      <c r="D1040" s="5">
        <v>60</v>
      </c>
      <c r="E1040" t="s">
        <v>783</v>
      </c>
    </row>
    <row r="1041" spans="1:5" x14ac:dyDescent="0.25">
      <c r="A1041">
        <v>21</v>
      </c>
      <c r="B1041">
        <v>1</v>
      </c>
      <c r="C1041" t="s">
        <v>51</v>
      </c>
      <c r="D1041" s="5">
        <v>0</v>
      </c>
      <c r="E1041" t="s">
        <v>52</v>
      </c>
    </row>
    <row r="1042" spans="1:5" hidden="1" x14ac:dyDescent="0.25">
      <c r="A1042">
        <v>21</v>
      </c>
      <c r="B1042">
        <v>1</v>
      </c>
      <c r="C1042" t="s">
        <v>39</v>
      </c>
      <c r="D1042" s="4">
        <v>0</v>
      </c>
      <c r="E1042" t="s">
        <v>39</v>
      </c>
    </row>
    <row r="1043" spans="1:5" x14ac:dyDescent="0.25">
      <c r="A1043">
        <v>21</v>
      </c>
      <c r="B1043">
        <v>1</v>
      </c>
      <c r="C1043" t="s">
        <v>785</v>
      </c>
      <c r="D1043" s="5">
        <v>0</v>
      </c>
      <c r="E1043" t="s">
        <v>786</v>
      </c>
    </row>
    <row r="1044" spans="1:5" hidden="1" x14ac:dyDescent="0.25">
      <c r="A1044">
        <v>21</v>
      </c>
      <c r="B1044">
        <v>1</v>
      </c>
      <c r="C1044" t="s">
        <v>39</v>
      </c>
      <c r="D1044" s="4">
        <v>0</v>
      </c>
      <c r="E1044" t="s">
        <v>39</v>
      </c>
    </row>
    <row r="1045" spans="1:5" x14ac:dyDescent="0.25">
      <c r="A1045">
        <v>21</v>
      </c>
      <c r="B1045">
        <v>1</v>
      </c>
      <c r="C1045" t="s">
        <v>787</v>
      </c>
      <c r="D1045" s="5">
        <v>0</v>
      </c>
      <c r="E1045" t="s">
        <v>788</v>
      </c>
    </row>
    <row r="1046" spans="1:5" hidden="1" x14ac:dyDescent="0.25">
      <c r="A1046">
        <v>21</v>
      </c>
      <c r="B1046">
        <v>1</v>
      </c>
      <c r="C1046" t="s">
        <v>39</v>
      </c>
      <c r="D1046" s="4">
        <v>0</v>
      </c>
      <c r="E1046" t="s">
        <v>39</v>
      </c>
    </row>
    <row r="1047" spans="1:5" x14ac:dyDescent="0.25">
      <c r="A1047">
        <v>21</v>
      </c>
      <c r="B1047">
        <v>1</v>
      </c>
      <c r="C1047" t="s">
        <v>789</v>
      </c>
      <c r="D1047" s="5">
        <v>0</v>
      </c>
      <c r="E1047" t="s">
        <v>790</v>
      </c>
    </row>
    <row r="1048" spans="1:5" hidden="1" x14ac:dyDescent="0.25">
      <c r="A1048">
        <v>21</v>
      </c>
      <c r="B1048">
        <v>1</v>
      </c>
      <c r="C1048" t="s">
        <v>39</v>
      </c>
      <c r="D1048" s="4">
        <v>0</v>
      </c>
      <c r="E1048" t="s">
        <v>39</v>
      </c>
    </row>
    <row r="1049" spans="1:5" hidden="1" x14ac:dyDescent="0.25">
      <c r="A1049">
        <v>21</v>
      </c>
      <c r="B1049">
        <v>4</v>
      </c>
      <c r="C1049" t="s">
        <v>39</v>
      </c>
      <c r="D1049" s="4">
        <v>0</v>
      </c>
      <c r="E1049" t="s">
        <v>39</v>
      </c>
    </row>
    <row r="1050" spans="1:5" x14ac:dyDescent="0.25">
      <c r="A1050">
        <v>21</v>
      </c>
      <c r="B1050">
        <v>4</v>
      </c>
      <c r="C1050" t="s">
        <v>791</v>
      </c>
      <c r="D1050" s="5">
        <v>0</v>
      </c>
      <c r="E1050" t="s">
        <v>792</v>
      </c>
    </row>
    <row r="1051" spans="1:5" hidden="1" x14ac:dyDescent="0.25">
      <c r="A1051">
        <v>21</v>
      </c>
      <c r="B1051">
        <v>4</v>
      </c>
      <c r="C1051" t="s">
        <v>39</v>
      </c>
      <c r="D1051" s="4">
        <v>0</v>
      </c>
      <c r="E1051" t="s">
        <v>39</v>
      </c>
    </row>
    <row r="1052" spans="1:5" x14ac:dyDescent="0.25">
      <c r="A1052">
        <v>21</v>
      </c>
      <c r="B1052">
        <v>4</v>
      </c>
      <c r="C1052" t="s">
        <v>793</v>
      </c>
      <c r="D1052" s="5">
        <v>0</v>
      </c>
      <c r="E1052" t="s">
        <v>794</v>
      </c>
    </row>
    <row r="1053" spans="1:5" hidden="1" x14ac:dyDescent="0.25">
      <c r="A1053">
        <v>21</v>
      </c>
      <c r="B1053">
        <v>4</v>
      </c>
      <c r="C1053" t="s">
        <v>39</v>
      </c>
      <c r="D1053" s="4">
        <v>0</v>
      </c>
      <c r="E1053" t="s">
        <v>39</v>
      </c>
    </row>
    <row r="1054" spans="1:5" x14ac:dyDescent="0.25">
      <c r="A1054">
        <v>21</v>
      </c>
      <c r="B1054">
        <v>4</v>
      </c>
      <c r="C1054" t="s">
        <v>795</v>
      </c>
      <c r="D1054" s="5">
        <v>0</v>
      </c>
      <c r="E1054" t="s">
        <v>2486</v>
      </c>
    </row>
    <row r="1055" spans="1:5" hidden="1" x14ac:dyDescent="0.25">
      <c r="A1055">
        <v>21</v>
      </c>
      <c r="B1055">
        <v>4</v>
      </c>
      <c r="C1055" t="s">
        <v>39</v>
      </c>
      <c r="D1055" s="4">
        <v>0</v>
      </c>
      <c r="E1055" t="s">
        <v>39</v>
      </c>
    </row>
    <row r="1056" spans="1:5" x14ac:dyDescent="0.25">
      <c r="A1056">
        <v>21</v>
      </c>
      <c r="B1056">
        <v>4</v>
      </c>
      <c r="C1056" t="s">
        <v>796</v>
      </c>
      <c r="D1056" s="5">
        <v>0</v>
      </c>
      <c r="E1056" t="s">
        <v>797</v>
      </c>
    </row>
    <row r="1057" spans="1:5" hidden="1" x14ac:dyDescent="0.25">
      <c r="A1057">
        <v>21</v>
      </c>
      <c r="B1057">
        <v>4</v>
      </c>
      <c r="C1057" t="s">
        <v>39</v>
      </c>
      <c r="D1057" s="4">
        <v>0</v>
      </c>
      <c r="E1057" t="s">
        <v>39</v>
      </c>
    </row>
    <row r="1058" spans="1:5" hidden="1" x14ac:dyDescent="0.25">
      <c r="A1058">
        <v>21</v>
      </c>
      <c r="B1058">
        <v>7</v>
      </c>
      <c r="C1058" t="s">
        <v>39</v>
      </c>
      <c r="D1058" s="4">
        <v>0</v>
      </c>
      <c r="E1058" t="s">
        <v>39</v>
      </c>
    </row>
    <row r="1059" spans="1:5" x14ac:dyDescent="0.25">
      <c r="A1059">
        <v>21</v>
      </c>
      <c r="B1059">
        <v>7</v>
      </c>
      <c r="C1059" t="s">
        <v>798</v>
      </c>
      <c r="D1059" s="5">
        <v>0</v>
      </c>
      <c r="E1059" t="s">
        <v>799</v>
      </c>
    </row>
    <row r="1060" spans="1:5" hidden="1" x14ac:dyDescent="0.25">
      <c r="A1060">
        <v>21</v>
      </c>
      <c r="B1060">
        <v>7</v>
      </c>
      <c r="C1060" t="s">
        <v>39</v>
      </c>
      <c r="D1060" s="4">
        <v>0</v>
      </c>
      <c r="E1060" t="s">
        <v>39</v>
      </c>
    </row>
    <row r="1061" spans="1:5" x14ac:dyDescent="0.25">
      <c r="A1061">
        <v>21</v>
      </c>
      <c r="B1061">
        <v>7</v>
      </c>
      <c r="C1061" t="s">
        <v>800</v>
      </c>
      <c r="D1061" s="5">
        <v>0</v>
      </c>
      <c r="E1061" t="s">
        <v>801</v>
      </c>
    </row>
    <row r="1062" spans="1:5" hidden="1" x14ac:dyDescent="0.25">
      <c r="A1062">
        <v>21</v>
      </c>
      <c r="B1062">
        <v>7</v>
      </c>
      <c r="C1062" t="s">
        <v>39</v>
      </c>
      <c r="D1062" s="4">
        <v>0</v>
      </c>
      <c r="E1062" t="s">
        <v>39</v>
      </c>
    </row>
    <row r="1063" spans="1:5" x14ac:dyDescent="0.25">
      <c r="A1063">
        <v>21</v>
      </c>
      <c r="B1063">
        <v>7</v>
      </c>
      <c r="C1063" t="s">
        <v>802</v>
      </c>
      <c r="D1063" s="5">
        <v>0</v>
      </c>
      <c r="E1063" t="s">
        <v>803</v>
      </c>
    </row>
    <row r="1064" spans="1:5" hidden="1" x14ac:dyDescent="0.25">
      <c r="A1064">
        <v>21</v>
      </c>
      <c r="B1064">
        <v>7</v>
      </c>
      <c r="C1064" t="s">
        <v>39</v>
      </c>
      <c r="D1064" s="4">
        <v>0</v>
      </c>
      <c r="E1064" t="s">
        <v>39</v>
      </c>
    </row>
    <row r="1065" spans="1:5" x14ac:dyDescent="0.25">
      <c r="A1065">
        <v>21</v>
      </c>
      <c r="B1065">
        <v>7</v>
      </c>
      <c r="C1065" t="s">
        <v>804</v>
      </c>
      <c r="D1065" s="5">
        <v>0</v>
      </c>
      <c r="E1065" t="s">
        <v>805</v>
      </c>
    </row>
    <row r="1066" spans="1:5" hidden="1" x14ac:dyDescent="0.25">
      <c r="A1066">
        <v>21</v>
      </c>
      <c r="B1066">
        <v>7</v>
      </c>
      <c r="C1066" t="s">
        <v>39</v>
      </c>
      <c r="D1066" s="4">
        <v>0</v>
      </c>
      <c r="E1066" t="s">
        <v>39</v>
      </c>
    </row>
    <row r="1067" spans="1:5" hidden="1" x14ac:dyDescent="0.25">
      <c r="A1067">
        <v>21</v>
      </c>
      <c r="B1067">
        <v>10</v>
      </c>
      <c r="C1067" t="s">
        <v>39</v>
      </c>
      <c r="D1067" s="4">
        <v>0</v>
      </c>
      <c r="E1067" t="s">
        <v>39</v>
      </c>
    </row>
    <row r="1068" spans="1:5" x14ac:dyDescent="0.25">
      <c r="A1068">
        <v>21</v>
      </c>
      <c r="B1068">
        <v>10</v>
      </c>
      <c r="C1068" t="s">
        <v>806</v>
      </c>
      <c r="D1068" s="5">
        <v>0</v>
      </c>
      <c r="E1068" t="s">
        <v>807</v>
      </c>
    </row>
    <row r="1069" spans="1:5" hidden="1" x14ac:dyDescent="0.25">
      <c r="A1069">
        <v>21</v>
      </c>
      <c r="B1069">
        <v>10</v>
      </c>
      <c r="C1069" t="s">
        <v>39</v>
      </c>
      <c r="D1069" s="4">
        <v>0</v>
      </c>
      <c r="E1069" t="s">
        <v>39</v>
      </c>
    </row>
    <row r="1070" spans="1:5" x14ac:dyDescent="0.25">
      <c r="A1070">
        <v>21</v>
      </c>
      <c r="B1070">
        <v>10</v>
      </c>
      <c r="C1070" t="s">
        <v>808</v>
      </c>
      <c r="D1070" s="5">
        <v>0</v>
      </c>
      <c r="E1070" t="s">
        <v>809</v>
      </c>
    </row>
    <row r="1071" spans="1:5" hidden="1" x14ac:dyDescent="0.25">
      <c r="A1071">
        <v>21</v>
      </c>
      <c r="B1071">
        <v>10</v>
      </c>
      <c r="C1071" t="s">
        <v>39</v>
      </c>
      <c r="D1071" s="4">
        <v>0</v>
      </c>
      <c r="E1071" t="s">
        <v>39</v>
      </c>
    </row>
    <row r="1072" spans="1:5" hidden="1" x14ac:dyDescent="0.25">
      <c r="A1072">
        <v>21</v>
      </c>
      <c r="B1072">
        <v>13</v>
      </c>
      <c r="C1072" t="s">
        <v>39</v>
      </c>
      <c r="D1072" s="4">
        <v>0</v>
      </c>
      <c r="E1072" t="s">
        <v>39</v>
      </c>
    </row>
    <row r="1073" spans="1:5" x14ac:dyDescent="0.25">
      <c r="A1073">
        <v>21</v>
      </c>
      <c r="B1073">
        <v>13</v>
      </c>
      <c r="C1073" t="s">
        <v>66</v>
      </c>
      <c r="D1073" s="5">
        <v>0</v>
      </c>
      <c r="E1073" t="s">
        <v>67</v>
      </c>
    </row>
    <row r="1074" spans="1:5" hidden="1" x14ac:dyDescent="0.25">
      <c r="A1074">
        <v>21</v>
      </c>
      <c r="B1074">
        <v>13</v>
      </c>
      <c r="C1074" t="s">
        <v>39</v>
      </c>
      <c r="D1074" s="4">
        <v>0</v>
      </c>
      <c r="E1074" t="s">
        <v>39</v>
      </c>
    </row>
    <row r="1075" spans="1:5" x14ac:dyDescent="0.25">
      <c r="A1075">
        <v>21</v>
      </c>
      <c r="B1075">
        <v>13</v>
      </c>
      <c r="C1075" t="s">
        <v>810</v>
      </c>
      <c r="D1075" s="5">
        <v>0</v>
      </c>
      <c r="E1075" t="s">
        <v>2487</v>
      </c>
    </row>
    <row r="1076" spans="1:5" hidden="1" x14ac:dyDescent="0.25">
      <c r="A1076">
        <v>21</v>
      </c>
      <c r="B1076">
        <v>13</v>
      </c>
      <c r="C1076" t="s">
        <v>39</v>
      </c>
      <c r="D1076" s="4">
        <v>0</v>
      </c>
      <c r="E1076" t="s">
        <v>39</v>
      </c>
    </row>
    <row r="1077" spans="1:5" x14ac:dyDescent="0.25">
      <c r="A1077">
        <v>21</v>
      </c>
      <c r="B1077">
        <v>13</v>
      </c>
      <c r="C1077" t="s">
        <v>811</v>
      </c>
      <c r="D1077" s="5">
        <v>0</v>
      </c>
      <c r="E1077" t="s">
        <v>2488</v>
      </c>
    </row>
    <row r="1078" spans="1:5" hidden="1" x14ac:dyDescent="0.25">
      <c r="A1078">
        <v>21</v>
      </c>
      <c r="B1078">
        <v>13</v>
      </c>
      <c r="C1078" t="s">
        <v>39</v>
      </c>
      <c r="D1078" s="4">
        <v>0</v>
      </c>
      <c r="E1078" t="s">
        <v>39</v>
      </c>
    </row>
    <row r="1079" spans="1:5" x14ac:dyDescent="0.25">
      <c r="A1079">
        <v>21</v>
      </c>
      <c r="B1079">
        <v>13</v>
      </c>
      <c r="C1079" t="s">
        <v>812</v>
      </c>
      <c r="D1079" s="5">
        <v>0</v>
      </c>
      <c r="E1079" t="s">
        <v>813</v>
      </c>
    </row>
    <row r="1080" spans="1:5" hidden="1" x14ac:dyDescent="0.25">
      <c r="A1080">
        <v>21</v>
      </c>
      <c r="B1080">
        <v>13</v>
      </c>
      <c r="C1080" t="s">
        <v>39</v>
      </c>
      <c r="D1080" s="4">
        <v>0</v>
      </c>
      <c r="E1080" t="s">
        <v>39</v>
      </c>
    </row>
    <row r="1081" spans="1:5" hidden="1" x14ac:dyDescent="0.25">
      <c r="A1081">
        <v>21</v>
      </c>
      <c r="B1081">
        <v>16</v>
      </c>
      <c r="C1081" t="s">
        <v>39</v>
      </c>
      <c r="D1081" s="4">
        <v>0</v>
      </c>
      <c r="E1081" t="s">
        <v>39</v>
      </c>
    </row>
    <row r="1082" spans="1:5" x14ac:dyDescent="0.25">
      <c r="A1082">
        <v>21</v>
      </c>
      <c r="B1082">
        <v>16</v>
      </c>
      <c r="C1082" t="s">
        <v>814</v>
      </c>
      <c r="D1082" s="5">
        <v>0</v>
      </c>
      <c r="E1082" t="s">
        <v>815</v>
      </c>
    </row>
    <row r="1083" spans="1:5" hidden="1" x14ac:dyDescent="0.25">
      <c r="A1083">
        <v>21</v>
      </c>
      <c r="B1083">
        <v>16</v>
      </c>
      <c r="C1083" t="s">
        <v>39</v>
      </c>
      <c r="D1083" s="4">
        <v>0</v>
      </c>
      <c r="E1083" t="s">
        <v>39</v>
      </c>
    </row>
    <row r="1084" spans="1:5" x14ac:dyDescent="0.25">
      <c r="A1084">
        <v>21</v>
      </c>
      <c r="B1084">
        <v>16</v>
      </c>
      <c r="C1084" t="s">
        <v>816</v>
      </c>
      <c r="D1084" s="5">
        <v>0</v>
      </c>
      <c r="E1084" t="s">
        <v>817</v>
      </c>
    </row>
    <row r="1085" spans="1:5" hidden="1" x14ac:dyDescent="0.25">
      <c r="A1085">
        <v>21</v>
      </c>
      <c r="B1085">
        <v>16</v>
      </c>
      <c r="C1085" t="s">
        <v>39</v>
      </c>
      <c r="D1085" s="4">
        <v>0</v>
      </c>
      <c r="E1085" t="s">
        <v>39</v>
      </c>
    </row>
    <row r="1086" spans="1:5" x14ac:dyDescent="0.25">
      <c r="A1086">
        <v>21</v>
      </c>
      <c r="B1086">
        <v>16</v>
      </c>
      <c r="C1086" t="s">
        <v>818</v>
      </c>
      <c r="D1086" s="5">
        <v>0</v>
      </c>
      <c r="E1086" t="s">
        <v>819</v>
      </c>
    </row>
    <row r="1087" spans="1:5" hidden="1" x14ac:dyDescent="0.25">
      <c r="A1087">
        <v>21</v>
      </c>
      <c r="B1087">
        <v>16</v>
      </c>
      <c r="C1087" t="s">
        <v>39</v>
      </c>
      <c r="D1087" s="4">
        <v>0</v>
      </c>
      <c r="E1087" t="s">
        <v>39</v>
      </c>
    </row>
    <row r="1088" spans="1:5" x14ac:dyDescent="0.25">
      <c r="A1088">
        <v>21</v>
      </c>
      <c r="B1088">
        <v>16</v>
      </c>
      <c r="C1088" t="s">
        <v>509</v>
      </c>
      <c r="D1088" s="5">
        <v>0</v>
      </c>
      <c r="E1088" t="s">
        <v>820</v>
      </c>
    </row>
    <row r="1089" spans="1:5" hidden="1" x14ac:dyDescent="0.25">
      <c r="A1089">
        <v>21</v>
      </c>
      <c r="B1089">
        <v>16</v>
      </c>
      <c r="C1089" t="s">
        <v>39</v>
      </c>
      <c r="D1089" s="4">
        <v>0</v>
      </c>
      <c r="E1089" t="s">
        <v>39</v>
      </c>
    </row>
    <row r="1090" spans="1:5" hidden="1" x14ac:dyDescent="0.25">
      <c r="A1090">
        <v>21</v>
      </c>
      <c r="B1090">
        <v>20</v>
      </c>
      <c r="C1090" t="s">
        <v>39</v>
      </c>
      <c r="D1090" s="4">
        <v>0</v>
      </c>
      <c r="E1090" t="s">
        <v>39</v>
      </c>
    </row>
    <row r="1091" spans="1:5" x14ac:dyDescent="0.25">
      <c r="A1091">
        <v>21</v>
      </c>
      <c r="B1091">
        <v>20</v>
      </c>
      <c r="C1091" t="s">
        <v>2489</v>
      </c>
      <c r="D1091" s="5">
        <v>0</v>
      </c>
      <c r="E1091" t="s">
        <v>821</v>
      </c>
    </row>
    <row r="1092" spans="1:5" hidden="1" x14ac:dyDescent="0.25">
      <c r="A1092">
        <v>21</v>
      </c>
      <c r="B1092">
        <v>20</v>
      </c>
      <c r="C1092" t="s">
        <v>39</v>
      </c>
      <c r="D1092" s="4">
        <v>0</v>
      </c>
      <c r="E1092" t="s">
        <v>39</v>
      </c>
    </row>
    <row r="1093" spans="1:5" x14ac:dyDescent="0.25">
      <c r="A1093">
        <v>21</v>
      </c>
      <c r="B1093">
        <v>20</v>
      </c>
      <c r="C1093" t="s">
        <v>822</v>
      </c>
      <c r="D1093" s="5">
        <v>0</v>
      </c>
      <c r="E1093" t="s">
        <v>2490</v>
      </c>
    </row>
    <row r="1094" spans="1:5" hidden="1" x14ac:dyDescent="0.25">
      <c r="A1094">
        <v>21</v>
      </c>
      <c r="B1094">
        <v>20</v>
      </c>
      <c r="C1094" t="s">
        <v>39</v>
      </c>
      <c r="D1094" s="4">
        <v>0</v>
      </c>
      <c r="E1094" t="s">
        <v>39</v>
      </c>
    </row>
    <row r="1095" spans="1:5" x14ac:dyDescent="0.25">
      <c r="A1095">
        <v>21</v>
      </c>
      <c r="B1095">
        <v>20</v>
      </c>
      <c r="C1095" t="s">
        <v>823</v>
      </c>
      <c r="D1095" s="5">
        <v>0</v>
      </c>
      <c r="E1095" t="s">
        <v>824</v>
      </c>
    </row>
    <row r="1096" spans="1:5" hidden="1" x14ac:dyDescent="0.25">
      <c r="A1096">
        <v>21</v>
      </c>
      <c r="B1096">
        <v>20</v>
      </c>
      <c r="C1096" t="s">
        <v>39</v>
      </c>
      <c r="D1096" s="4">
        <v>0</v>
      </c>
      <c r="E1096" t="s">
        <v>39</v>
      </c>
    </row>
    <row r="1097" spans="1:5" x14ac:dyDescent="0.25">
      <c r="A1097">
        <v>21</v>
      </c>
      <c r="B1097">
        <v>20</v>
      </c>
      <c r="C1097" t="s">
        <v>245</v>
      </c>
      <c r="D1097" s="5">
        <v>0</v>
      </c>
      <c r="E1097" t="s">
        <v>246</v>
      </c>
    </row>
    <row r="1098" spans="1:5" x14ac:dyDescent="0.25">
      <c r="A1098">
        <v>22</v>
      </c>
      <c r="B1098">
        <v>1</v>
      </c>
      <c r="C1098" t="s">
        <v>825</v>
      </c>
      <c r="D1098" s="5">
        <v>0</v>
      </c>
      <c r="E1098" t="s">
        <v>858</v>
      </c>
    </row>
    <row r="1099" spans="1:5" hidden="1" x14ac:dyDescent="0.25">
      <c r="A1099">
        <v>22</v>
      </c>
      <c r="B1099">
        <v>1</v>
      </c>
      <c r="C1099" t="s">
        <v>39</v>
      </c>
      <c r="D1099" s="4">
        <v>0</v>
      </c>
      <c r="E1099" t="s">
        <v>39</v>
      </c>
    </row>
    <row r="1100" spans="1:5" x14ac:dyDescent="0.25">
      <c r="A1100">
        <v>22</v>
      </c>
      <c r="B1100">
        <v>1</v>
      </c>
      <c r="C1100" t="s">
        <v>826</v>
      </c>
      <c r="D1100" s="5">
        <v>0</v>
      </c>
      <c r="E1100" t="s">
        <v>827</v>
      </c>
    </row>
    <row r="1101" spans="1:5" hidden="1" x14ac:dyDescent="0.25">
      <c r="A1101">
        <v>22</v>
      </c>
      <c r="B1101">
        <v>1</v>
      </c>
      <c r="C1101" t="s">
        <v>39</v>
      </c>
      <c r="D1101" s="4">
        <v>0</v>
      </c>
      <c r="E1101" t="s">
        <v>39</v>
      </c>
    </row>
    <row r="1102" spans="1:5" x14ac:dyDescent="0.25">
      <c r="A1102">
        <v>22</v>
      </c>
      <c r="B1102">
        <v>1</v>
      </c>
      <c r="C1102" t="s">
        <v>828</v>
      </c>
      <c r="D1102" s="5">
        <v>0</v>
      </c>
      <c r="E1102" t="s">
        <v>859</v>
      </c>
    </row>
    <row r="1103" spans="1:5" hidden="1" x14ac:dyDescent="0.25">
      <c r="A1103">
        <v>22</v>
      </c>
      <c r="B1103">
        <v>1</v>
      </c>
      <c r="C1103" t="s">
        <v>39</v>
      </c>
      <c r="D1103" s="4">
        <v>0</v>
      </c>
      <c r="E1103" t="s">
        <v>39</v>
      </c>
    </row>
    <row r="1104" spans="1:5" hidden="1" x14ac:dyDescent="0.25">
      <c r="A1104">
        <v>22</v>
      </c>
      <c r="B1104">
        <v>4</v>
      </c>
      <c r="C1104" t="s">
        <v>39</v>
      </c>
      <c r="D1104" s="4">
        <v>0</v>
      </c>
      <c r="E1104" t="s">
        <v>39</v>
      </c>
    </row>
    <row r="1105" spans="1:5" x14ac:dyDescent="0.25">
      <c r="A1105">
        <v>22</v>
      </c>
      <c r="B1105">
        <v>4</v>
      </c>
      <c r="C1105" t="s">
        <v>829</v>
      </c>
      <c r="D1105" s="5">
        <v>0</v>
      </c>
      <c r="E1105" t="s">
        <v>2491</v>
      </c>
    </row>
    <row r="1106" spans="1:5" hidden="1" x14ac:dyDescent="0.25">
      <c r="A1106">
        <v>22</v>
      </c>
      <c r="B1106">
        <v>4</v>
      </c>
      <c r="C1106" t="s">
        <v>39</v>
      </c>
      <c r="D1106" s="4">
        <v>0</v>
      </c>
      <c r="E1106" t="s">
        <v>39</v>
      </c>
    </row>
    <row r="1107" spans="1:5" x14ac:dyDescent="0.25">
      <c r="A1107">
        <v>22</v>
      </c>
      <c r="B1107">
        <v>4</v>
      </c>
      <c r="C1107" t="s">
        <v>830</v>
      </c>
      <c r="D1107" s="5">
        <v>0</v>
      </c>
      <c r="E1107" t="s">
        <v>831</v>
      </c>
    </row>
    <row r="1108" spans="1:5" hidden="1" x14ac:dyDescent="0.25">
      <c r="A1108">
        <v>22</v>
      </c>
      <c r="B1108">
        <v>4</v>
      </c>
      <c r="C1108" t="s">
        <v>39</v>
      </c>
      <c r="D1108" s="4">
        <v>0</v>
      </c>
      <c r="E1108" t="s">
        <v>39</v>
      </c>
    </row>
    <row r="1109" spans="1:5" x14ac:dyDescent="0.25">
      <c r="A1109">
        <v>22</v>
      </c>
      <c r="B1109">
        <v>4</v>
      </c>
      <c r="C1109" t="s">
        <v>832</v>
      </c>
      <c r="D1109" s="5">
        <v>0</v>
      </c>
      <c r="E1109" t="s">
        <v>833</v>
      </c>
    </row>
    <row r="1110" spans="1:5" hidden="1" x14ac:dyDescent="0.25">
      <c r="A1110">
        <v>22</v>
      </c>
      <c r="B1110">
        <v>4</v>
      </c>
      <c r="C1110" t="s">
        <v>39</v>
      </c>
      <c r="D1110" s="4">
        <v>0</v>
      </c>
      <c r="E1110" t="s">
        <v>39</v>
      </c>
    </row>
    <row r="1111" spans="1:5" hidden="1" x14ac:dyDescent="0.25">
      <c r="A1111">
        <v>22</v>
      </c>
      <c r="B1111">
        <v>7</v>
      </c>
      <c r="C1111" t="s">
        <v>39</v>
      </c>
      <c r="D1111" s="4">
        <v>0</v>
      </c>
      <c r="E1111" t="s">
        <v>39</v>
      </c>
    </row>
    <row r="1112" spans="1:5" x14ac:dyDescent="0.25">
      <c r="A1112">
        <v>22</v>
      </c>
      <c r="B1112">
        <v>7</v>
      </c>
      <c r="C1112" t="s">
        <v>834</v>
      </c>
      <c r="D1112" s="5">
        <v>0</v>
      </c>
      <c r="E1112" t="s">
        <v>835</v>
      </c>
    </row>
    <row r="1113" spans="1:5" hidden="1" x14ac:dyDescent="0.25">
      <c r="A1113">
        <v>22</v>
      </c>
      <c r="B1113">
        <v>7</v>
      </c>
      <c r="C1113" t="s">
        <v>39</v>
      </c>
      <c r="D1113" s="4">
        <v>0</v>
      </c>
      <c r="E1113" t="s">
        <v>39</v>
      </c>
    </row>
    <row r="1114" spans="1:5" x14ac:dyDescent="0.25">
      <c r="A1114">
        <v>22</v>
      </c>
      <c r="B1114">
        <v>7</v>
      </c>
      <c r="C1114" t="s">
        <v>2492</v>
      </c>
      <c r="D1114" s="5">
        <v>0</v>
      </c>
      <c r="E1114" t="s">
        <v>836</v>
      </c>
    </row>
    <row r="1115" spans="1:5" hidden="1" x14ac:dyDescent="0.25">
      <c r="A1115">
        <v>22</v>
      </c>
      <c r="B1115">
        <v>7</v>
      </c>
      <c r="C1115" t="s">
        <v>39</v>
      </c>
      <c r="D1115" s="4">
        <v>0</v>
      </c>
      <c r="E1115" t="s">
        <v>39</v>
      </c>
    </row>
    <row r="1116" spans="1:5" x14ac:dyDescent="0.25">
      <c r="A1116">
        <v>22</v>
      </c>
      <c r="B1116">
        <v>7</v>
      </c>
      <c r="C1116" t="s">
        <v>837</v>
      </c>
      <c r="D1116" s="5">
        <v>0</v>
      </c>
      <c r="E1116" t="s">
        <v>838</v>
      </c>
    </row>
    <row r="1117" spans="1:5" hidden="1" x14ac:dyDescent="0.25">
      <c r="A1117">
        <v>22</v>
      </c>
      <c r="B1117">
        <v>7</v>
      </c>
      <c r="C1117" t="s">
        <v>39</v>
      </c>
      <c r="D1117" s="4">
        <v>0</v>
      </c>
      <c r="E1117" t="s">
        <v>39</v>
      </c>
    </row>
    <row r="1118" spans="1:5" hidden="1" x14ac:dyDescent="0.25">
      <c r="A1118">
        <v>22</v>
      </c>
      <c r="B1118">
        <v>10</v>
      </c>
      <c r="C1118" t="s">
        <v>39</v>
      </c>
      <c r="D1118" s="4">
        <v>0</v>
      </c>
      <c r="E1118" t="s">
        <v>39</v>
      </c>
    </row>
    <row r="1119" spans="1:5" x14ac:dyDescent="0.25">
      <c r="A1119">
        <v>22</v>
      </c>
      <c r="B1119">
        <v>10</v>
      </c>
      <c r="C1119" t="s">
        <v>839</v>
      </c>
      <c r="D1119" s="5">
        <v>0</v>
      </c>
      <c r="E1119" t="s">
        <v>840</v>
      </c>
    </row>
    <row r="1120" spans="1:5" hidden="1" x14ac:dyDescent="0.25">
      <c r="A1120">
        <v>22</v>
      </c>
      <c r="B1120">
        <v>10</v>
      </c>
      <c r="C1120" t="s">
        <v>39</v>
      </c>
      <c r="D1120" s="4">
        <v>0</v>
      </c>
      <c r="E1120" t="s">
        <v>39</v>
      </c>
    </row>
    <row r="1121" spans="1:5" x14ac:dyDescent="0.25">
      <c r="A1121">
        <v>22</v>
      </c>
      <c r="B1121">
        <v>10</v>
      </c>
      <c r="C1121" t="s">
        <v>841</v>
      </c>
      <c r="D1121" s="5">
        <v>0</v>
      </c>
      <c r="E1121" t="s">
        <v>842</v>
      </c>
    </row>
    <row r="1122" spans="1:5" hidden="1" x14ac:dyDescent="0.25">
      <c r="A1122">
        <v>22</v>
      </c>
      <c r="B1122">
        <v>10</v>
      </c>
      <c r="C1122" t="s">
        <v>39</v>
      </c>
      <c r="D1122" s="4">
        <v>0</v>
      </c>
      <c r="E1122" t="s">
        <v>39</v>
      </c>
    </row>
    <row r="1123" spans="1:5" hidden="1" x14ac:dyDescent="0.25">
      <c r="A1123">
        <v>22</v>
      </c>
      <c r="B1123">
        <v>13</v>
      </c>
      <c r="C1123" t="s">
        <v>39</v>
      </c>
      <c r="D1123" s="4">
        <v>0</v>
      </c>
      <c r="E1123" t="s">
        <v>39</v>
      </c>
    </row>
    <row r="1124" spans="1:5" x14ac:dyDescent="0.25">
      <c r="A1124">
        <v>22</v>
      </c>
      <c r="B1124">
        <v>13</v>
      </c>
      <c r="C1124" t="s">
        <v>843</v>
      </c>
      <c r="D1124" s="5">
        <v>0</v>
      </c>
      <c r="E1124" t="s">
        <v>844</v>
      </c>
    </row>
    <row r="1125" spans="1:5" hidden="1" x14ac:dyDescent="0.25">
      <c r="A1125">
        <v>22</v>
      </c>
      <c r="B1125">
        <v>13</v>
      </c>
      <c r="C1125" t="s">
        <v>39</v>
      </c>
      <c r="D1125" s="4">
        <v>0</v>
      </c>
      <c r="E1125" t="s">
        <v>39</v>
      </c>
    </row>
    <row r="1126" spans="1:5" x14ac:dyDescent="0.25">
      <c r="A1126">
        <v>22</v>
      </c>
      <c r="B1126">
        <v>13</v>
      </c>
      <c r="C1126" t="s">
        <v>845</v>
      </c>
      <c r="D1126" s="5">
        <v>0</v>
      </c>
      <c r="E1126" t="s">
        <v>2493</v>
      </c>
    </row>
    <row r="1127" spans="1:5" hidden="1" x14ac:dyDescent="0.25">
      <c r="A1127">
        <v>22</v>
      </c>
      <c r="B1127">
        <v>13</v>
      </c>
      <c r="C1127" t="s">
        <v>39</v>
      </c>
      <c r="D1127" s="4">
        <v>0</v>
      </c>
      <c r="E1127" t="s">
        <v>39</v>
      </c>
    </row>
    <row r="1128" spans="1:5" x14ac:dyDescent="0.25">
      <c r="A1128">
        <v>22</v>
      </c>
      <c r="B1128">
        <v>13</v>
      </c>
      <c r="C1128" t="s">
        <v>846</v>
      </c>
      <c r="D1128" s="5">
        <v>0</v>
      </c>
      <c r="E1128" t="s">
        <v>2494</v>
      </c>
    </row>
    <row r="1129" spans="1:5" hidden="1" x14ac:dyDescent="0.25">
      <c r="A1129">
        <v>22</v>
      </c>
      <c r="B1129">
        <v>13</v>
      </c>
      <c r="C1129" t="s">
        <v>39</v>
      </c>
      <c r="D1129" s="4">
        <v>0</v>
      </c>
      <c r="E1129" t="s">
        <v>39</v>
      </c>
    </row>
    <row r="1130" spans="1:5" hidden="1" x14ac:dyDescent="0.25">
      <c r="A1130">
        <v>22</v>
      </c>
      <c r="B1130">
        <v>16</v>
      </c>
      <c r="C1130" t="s">
        <v>39</v>
      </c>
      <c r="D1130" s="4">
        <v>0</v>
      </c>
      <c r="E1130" t="s">
        <v>39</v>
      </c>
    </row>
    <row r="1131" spans="1:5" x14ac:dyDescent="0.25">
      <c r="A1131">
        <v>22</v>
      </c>
      <c r="B1131">
        <v>16</v>
      </c>
      <c r="C1131" t="s">
        <v>847</v>
      </c>
      <c r="D1131" s="5">
        <v>0</v>
      </c>
      <c r="E1131" t="s">
        <v>848</v>
      </c>
    </row>
    <row r="1132" spans="1:5" hidden="1" x14ac:dyDescent="0.25">
      <c r="A1132">
        <v>22</v>
      </c>
      <c r="B1132">
        <v>16</v>
      </c>
      <c r="C1132" t="s">
        <v>39</v>
      </c>
      <c r="D1132" s="4">
        <v>0</v>
      </c>
      <c r="E1132" t="s">
        <v>39</v>
      </c>
    </row>
    <row r="1133" spans="1:5" x14ac:dyDescent="0.25">
      <c r="A1133">
        <v>22</v>
      </c>
      <c r="B1133">
        <v>16</v>
      </c>
      <c r="C1133" t="s">
        <v>849</v>
      </c>
      <c r="D1133" s="5">
        <v>0</v>
      </c>
      <c r="E1133" t="s">
        <v>850</v>
      </c>
    </row>
    <row r="1134" spans="1:5" hidden="1" x14ac:dyDescent="0.25">
      <c r="A1134">
        <v>22</v>
      </c>
      <c r="B1134">
        <v>16</v>
      </c>
      <c r="C1134" t="s">
        <v>39</v>
      </c>
      <c r="D1134" s="4">
        <v>0</v>
      </c>
      <c r="E1134" t="s">
        <v>39</v>
      </c>
    </row>
    <row r="1135" spans="1:5" x14ac:dyDescent="0.25">
      <c r="A1135">
        <v>22</v>
      </c>
      <c r="B1135">
        <v>16</v>
      </c>
      <c r="C1135" t="s">
        <v>851</v>
      </c>
      <c r="D1135" s="5">
        <v>0</v>
      </c>
      <c r="E1135" t="s">
        <v>852</v>
      </c>
    </row>
    <row r="1136" spans="1:5" hidden="1" x14ac:dyDescent="0.25">
      <c r="A1136">
        <v>22</v>
      </c>
      <c r="B1136">
        <v>16</v>
      </c>
      <c r="C1136" t="s">
        <v>39</v>
      </c>
      <c r="D1136" s="4">
        <v>0</v>
      </c>
      <c r="E1136" t="s">
        <v>39</v>
      </c>
    </row>
    <row r="1137" spans="1:5" hidden="1" x14ac:dyDescent="0.25">
      <c r="A1137">
        <v>22</v>
      </c>
      <c r="B1137">
        <v>20</v>
      </c>
      <c r="C1137" t="s">
        <v>39</v>
      </c>
      <c r="D1137" s="4">
        <v>0</v>
      </c>
      <c r="E1137" t="s">
        <v>39</v>
      </c>
    </row>
    <row r="1138" spans="1:5" x14ac:dyDescent="0.25">
      <c r="A1138">
        <v>22</v>
      </c>
      <c r="B1138">
        <v>20</v>
      </c>
      <c r="C1138" t="s">
        <v>853</v>
      </c>
      <c r="D1138" s="5">
        <v>0</v>
      </c>
      <c r="E1138" t="s">
        <v>854</v>
      </c>
    </row>
    <row r="1139" spans="1:5" hidden="1" x14ac:dyDescent="0.25">
      <c r="A1139">
        <v>22</v>
      </c>
      <c r="B1139">
        <v>20</v>
      </c>
      <c r="C1139" t="s">
        <v>39</v>
      </c>
      <c r="D1139" s="4">
        <v>0</v>
      </c>
      <c r="E1139" t="s">
        <v>39</v>
      </c>
    </row>
    <row r="1140" spans="1:5" x14ac:dyDescent="0.25">
      <c r="A1140">
        <v>22</v>
      </c>
      <c r="B1140">
        <v>20</v>
      </c>
      <c r="C1140" t="s">
        <v>855</v>
      </c>
      <c r="D1140" s="5">
        <v>0</v>
      </c>
      <c r="E1140" t="s">
        <v>2495</v>
      </c>
    </row>
    <row r="1141" spans="1:5" hidden="1" x14ac:dyDescent="0.25">
      <c r="A1141">
        <v>22</v>
      </c>
      <c r="B1141">
        <v>20</v>
      </c>
      <c r="C1141" t="s">
        <v>39</v>
      </c>
      <c r="D1141" s="4">
        <v>0</v>
      </c>
      <c r="E1141" t="s">
        <v>39</v>
      </c>
    </row>
    <row r="1142" spans="1:5" x14ac:dyDescent="0.25">
      <c r="A1142">
        <v>22</v>
      </c>
      <c r="B1142">
        <v>20</v>
      </c>
      <c r="C1142" t="s">
        <v>856</v>
      </c>
      <c r="D1142" s="5">
        <v>0</v>
      </c>
      <c r="E1142" t="s">
        <v>2496</v>
      </c>
    </row>
    <row r="1143" spans="1:5" hidden="1" x14ac:dyDescent="0.25">
      <c r="A1143">
        <v>22</v>
      </c>
      <c r="B1143">
        <v>20</v>
      </c>
      <c r="C1143" t="s">
        <v>39</v>
      </c>
      <c r="D1143" s="4">
        <v>0</v>
      </c>
      <c r="E1143" t="s">
        <v>39</v>
      </c>
    </row>
    <row r="1144" spans="1:5" x14ac:dyDescent="0.25">
      <c r="A1144">
        <v>22</v>
      </c>
      <c r="B1144">
        <v>20</v>
      </c>
      <c r="C1144" t="s">
        <v>857</v>
      </c>
      <c r="D1144" s="5">
        <v>0</v>
      </c>
      <c r="E1144" t="s">
        <v>2497</v>
      </c>
    </row>
    <row r="1145" spans="1:5" x14ac:dyDescent="0.25">
      <c r="A1145">
        <v>23</v>
      </c>
      <c r="B1145">
        <v>1</v>
      </c>
      <c r="C1145" t="s">
        <v>860</v>
      </c>
      <c r="D1145" s="5">
        <v>0</v>
      </c>
      <c r="E1145" t="s">
        <v>861</v>
      </c>
    </row>
    <row r="1146" spans="1:5" hidden="1" x14ac:dyDescent="0.25">
      <c r="A1146">
        <v>23</v>
      </c>
      <c r="B1146">
        <v>1</v>
      </c>
      <c r="C1146" t="s">
        <v>39</v>
      </c>
      <c r="D1146" s="4">
        <v>0</v>
      </c>
      <c r="E1146" t="s">
        <v>39</v>
      </c>
    </row>
    <row r="1147" spans="1:5" x14ac:dyDescent="0.25">
      <c r="A1147">
        <v>23</v>
      </c>
      <c r="B1147">
        <v>1</v>
      </c>
      <c r="C1147" t="s">
        <v>862</v>
      </c>
      <c r="D1147" s="5">
        <v>0</v>
      </c>
      <c r="E1147" t="s">
        <v>863</v>
      </c>
    </row>
    <row r="1148" spans="1:5" hidden="1" x14ac:dyDescent="0.25">
      <c r="A1148">
        <v>23</v>
      </c>
      <c r="B1148">
        <v>1</v>
      </c>
      <c r="C1148" t="s">
        <v>39</v>
      </c>
      <c r="D1148" s="4">
        <v>0</v>
      </c>
      <c r="E1148" t="s">
        <v>39</v>
      </c>
    </row>
    <row r="1149" spans="1:5" x14ac:dyDescent="0.25">
      <c r="A1149">
        <v>23</v>
      </c>
      <c r="B1149">
        <v>1</v>
      </c>
      <c r="C1149" t="s">
        <v>864</v>
      </c>
      <c r="D1149" s="5">
        <v>0</v>
      </c>
      <c r="E1149" t="s">
        <v>865</v>
      </c>
    </row>
    <row r="1150" spans="1:5" hidden="1" x14ac:dyDescent="0.25">
      <c r="A1150">
        <v>23</v>
      </c>
      <c r="B1150">
        <v>1</v>
      </c>
      <c r="C1150" t="s">
        <v>39</v>
      </c>
      <c r="D1150" s="4">
        <v>0</v>
      </c>
      <c r="E1150" t="s">
        <v>39</v>
      </c>
    </row>
    <row r="1151" spans="1:5" x14ac:dyDescent="0.25">
      <c r="A1151">
        <v>23</v>
      </c>
      <c r="B1151">
        <v>1</v>
      </c>
      <c r="C1151" t="s">
        <v>122</v>
      </c>
      <c r="D1151" s="5">
        <v>0</v>
      </c>
      <c r="E1151" t="s">
        <v>249</v>
      </c>
    </row>
    <row r="1152" spans="1:5" hidden="1" x14ac:dyDescent="0.25">
      <c r="A1152">
        <v>23</v>
      </c>
      <c r="B1152">
        <v>1</v>
      </c>
      <c r="C1152" t="s">
        <v>39</v>
      </c>
      <c r="D1152" s="4">
        <v>0</v>
      </c>
      <c r="E1152" t="s">
        <v>39</v>
      </c>
    </row>
    <row r="1153" spans="1:5" hidden="1" x14ac:dyDescent="0.25">
      <c r="A1153">
        <v>23</v>
      </c>
      <c r="B1153">
        <v>4</v>
      </c>
      <c r="C1153" t="s">
        <v>39</v>
      </c>
      <c r="D1153" s="4">
        <v>0</v>
      </c>
      <c r="E1153" t="s">
        <v>39</v>
      </c>
    </row>
    <row r="1154" spans="1:5" x14ac:dyDescent="0.25">
      <c r="A1154">
        <v>23</v>
      </c>
      <c r="B1154">
        <v>4</v>
      </c>
      <c r="C1154" t="s">
        <v>866</v>
      </c>
      <c r="D1154" s="5">
        <v>0</v>
      </c>
      <c r="E1154" t="s">
        <v>867</v>
      </c>
    </row>
    <row r="1155" spans="1:5" hidden="1" x14ac:dyDescent="0.25">
      <c r="A1155">
        <v>23</v>
      </c>
      <c r="B1155">
        <v>4</v>
      </c>
      <c r="C1155" t="s">
        <v>39</v>
      </c>
      <c r="D1155" s="4">
        <v>0</v>
      </c>
      <c r="E1155" t="s">
        <v>39</v>
      </c>
    </row>
    <row r="1156" spans="1:5" x14ac:dyDescent="0.25">
      <c r="A1156">
        <v>23</v>
      </c>
      <c r="B1156">
        <v>4</v>
      </c>
      <c r="C1156" t="s">
        <v>868</v>
      </c>
      <c r="D1156" s="5">
        <v>0</v>
      </c>
      <c r="E1156" t="s">
        <v>869</v>
      </c>
    </row>
    <row r="1157" spans="1:5" hidden="1" x14ac:dyDescent="0.25">
      <c r="A1157">
        <v>23</v>
      </c>
      <c r="B1157">
        <v>4</v>
      </c>
      <c r="C1157" t="s">
        <v>39</v>
      </c>
      <c r="D1157" s="4">
        <v>0</v>
      </c>
      <c r="E1157" t="s">
        <v>39</v>
      </c>
    </row>
    <row r="1158" spans="1:5" x14ac:dyDescent="0.25">
      <c r="A1158">
        <v>23</v>
      </c>
      <c r="B1158">
        <v>4</v>
      </c>
      <c r="C1158" t="s">
        <v>870</v>
      </c>
      <c r="D1158" s="5">
        <v>0</v>
      </c>
      <c r="E1158" t="s">
        <v>871</v>
      </c>
    </row>
    <row r="1159" spans="1:5" hidden="1" x14ac:dyDescent="0.25">
      <c r="A1159">
        <v>23</v>
      </c>
      <c r="B1159">
        <v>4</v>
      </c>
      <c r="C1159" t="s">
        <v>39</v>
      </c>
      <c r="D1159" s="4">
        <v>0</v>
      </c>
      <c r="E1159" t="s">
        <v>39</v>
      </c>
    </row>
    <row r="1160" spans="1:5" x14ac:dyDescent="0.25">
      <c r="A1160">
        <v>23</v>
      </c>
      <c r="B1160">
        <v>4</v>
      </c>
      <c r="C1160" t="s">
        <v>872</v>
      </c>
      <c r="D1160" s="5">
        <v>60</v>
      </c>
      <c r="E1160" t="s">
        <v>873</v>
      </c>
    </row>
    <row r="1161" spans="1:5" hidden="1" x14ac:dyDescent="0.25">
      <c r="A1161">
        <v>23</v>
      </c>
      <c r="B1161">
        <v>4</v>
      </c>
      <c r="C1161" t="s">
        <v>39</v>
      </c>
      <c r="D1161" s="4">
        <v>0</v>
      </c>
      <c r="E1161" t="s">
        <v>39</v>
      </c>
    </row>
    <row r="1162" spans="1:5" hidden="1" x14ac:dyDescent="0.25">
      <c r="A1162">
        <v>23</v>
      </c>
      <c r="B1162">
        <v>4</v>
      </c>
      <c r="C1162" t="s">
        <v>39</v>
      </c>
      <c r="D1162" s="4">
        <v>0</v>
      </c>
      <c r="E1162" t="s">
        <v>39</v>
      </c>
    </row>
    <row r="1163" spans="1:5" hidden="1" x14ac:dyDescent="0.25">
      <c r="A1163">
        <v>23</v>
      </c>
      <c r="B1163">
        <v>7</v>
      </c>
      <c r="C1163" t="s">
        <v>39</v>
      </c>
      <c r="D1163" s="4">
        <v>0</v>
      </c>
      <c r="E1163" t="s">
        <v>39</v>
      </c>
    </row>
    <row r="1164" spans="1:5" x14ac:dyDescent="0.25">
      <c r="A1164">
        <v>23</v>
      </c>
      <c r="B1164">
        <v>7</v>
      </c>
      <c r="C1164" t="s">
        <v>416</v>
      </c>
      <c r="D1164" s="5">
        <v>0</v>
      </c>
      <c r="E1164" t="s">
        <v>874</v>
      </c>
    </row>
    <row r="1165" spans="1:5" hidden="1" x14ac:dyDescent="0.25">
      <c r="A1165">
        <v>23</v>
      </c>
      <c r="B1165">
        <v>7</v>
      </c>
      <c r="C1165" t="s">
        <v>39</v>
      </c>
      <c r="D1165" s="4">
        <v>0</v>
      </c>
      <c r="E1165" t="s">
        <v>39</v>
      </c>
    </row>
    <row r="1166" spans="1:5" x14ac:dyDescent="0.25">
      <c r="A1166">
        <v>23</v>
      </c>
      <c r="B1166">
        <v>7</v>
      </c>
      <c r="C1166" t="s">
        <v>875</v>
      </c>
      <c r="D1166" s="5">
        <v>0</v>
      </c>
      <c r="E1166" t="s">
        <v>2498</v>
      </c>
    </row>
    <row r="1167" spans="1:5" hidden="1" x14ac:dyDescent="0.25">
      <c r="A1167">
        <v>23</v>
      </c>
      <c r="B1167">
        <v>7</v>
      </c>
      <c r="C1167" t="s">
        <v>39</v>
      </c>
      <c r="D1167" s="4">
        <v>0</v>
      </c>
      <c r="E1167" t="s">
        <v>39</v>
      </c>
    </row>
    <row r="1168" spans="1:5" x14ac:dyDescent="0.25">
      <c r="A1168">
        <v>23</v>
      </c>
      <c r="B1168">
        <v>7</v>
      </c>
      <c r="C1168" t="s">
        <v>876</v>
      </c>
      <c r="D1168" s="5">
        <v>0</v>
      </c>
      <c r="E1168" t="s">
        <v>877</v>
      </c>
    </row>
    <row r="1169" spans="1:5" hidden="1" x14ac:dyDescent="0.25">
      <c r="A1169">
        <v>23</v>
      </c>
      <c r="B1169">
        <v>7</v>
      </c>
      <c r="C1169" t="s">
        <v>39</v>
      </c>
      <c r="D1169" s="4">
        <v>0</v>
      </c>
      <c r="E1169" t="s">
        <v>39</v>
      </c>
    </row>
    <row r="1170" spans="1:5" x14ac:dyDescent="0.25">
      <c r="A1170">
        <v>23</v>
      </c>
      <c r="B1170">
        <v>7</v>
      </c>
      <c r="C1170" t="s">
        <v>878</v>
      </c>
      <c r="D1170" s="5">
        <v>0</v>
      </c>
      <c r="E1170" t="s">
        <v>879</v>
      </c>
    </row>
    <row r="1171" spans="1:5" hidden="1" x14ac:dyDescent="0.25">
      <c r="A1171">
        <v>23</v>
      </c>
      <c r="B1171">
        <v>7</v>
      </c>
      <c r="C1171" t="s">
        <v>39</v>
      </c>
      <c r="D1171" s="4">
        <v>0</v>
      </c>
      <c r="E1171" t="s">
        <v>39</v>
      </c>
    </row>
    <row r="1172" spans="1:5" hidden="1" x14ac:dyDescent="0.25">
      <c r="A1172">
        <v>23</v>
      </c>
      <c r="B1172">
        <v>10</v>
      </c>
      <c r="C1172" t="s">
        <v>39</v>
      </c>
      <c r="D1172" s="4">
        <v>0</v>
      </c>
      <c r="E1172" t="s">
        <v>39</v>
      </c>
    </row>
    <row r="1173" spans="1:5" x14ac:dyDescent="0.25">
      <c r="A1173">
        <v>23</v>
      </c>
      <c r="B1173">
        <v>10</v>
      </c>
      <c r="C1173" t="s">
        <v>880</v>
      </c>
      <c r="D1173" s="5">
        <v>0</v>
      </c>
      <c r="E1173" t="s">
        <v>881</v>
      </c>
    </row>
    <row r="1174" spans="1:5" hidden="1" x14ac:dyDescent="0.25">
      <c r="A1174">
        <v>23</v>
      </c>
      <c r="B1174">
        <v>10</v>
      </c>
      <c r="C1174" t="s">
        <v>39</v>
      </c>
      <c r="D1174" s="4">
        <v>0</v>
      </c>
      <c r="E1174" t="s">
        <v>39</v>
      </c>
    </row>
    <row r="1175" spans="1:5" x14ac:dyDescent="0.25">
      <c r="A1175">
        <v>23</v>
      </c>
      <c r="B1175">
        <v>10</v>
      </c>
      <c r="C1175" t="s">
        <v>882</v>
      </c>
      <c r="D1175" s="5">
        <v>0</v>
      </c>
      <c r="E1175" t="s">
        <v>883</v>
      </c>
    </row>
    <row r="1176" spans="1:5" hidden="1" x14ac:dyDescent="0.25">
      <c r="A1176">
        <v>23</v>
      </c>
      <c r="B1176">
        <v>10</v>
      </c>
      <c r="C1176" t="s">
        <v>39</v>
      </c>
      <c r="D1176" s="4">
        <v>0</v>
      </c>
      <c r="E1176" t="s">
        <v>39</v>
      </c>
    </row>
    <row r="1177" spans="1:5" hidden="1" x14ac:dyDescent="0.25">
      <c r="A1177">
        <v>23</v>
      </c>
      <c r="B1177">
        <v>13</v>
      </c>
      <c r="C1177" t="s">
        <v>39</v>
      </c>
      <c r="D1177" s="4">
        <v>0</v>
      </c>
      <c r="E1177" t="s">
        <v>39</v>
      </c>
    </row>
    <row r="1178" spans="1:5" x14ac:dyDescent="0.25">
      <c r="A1178">
        <v>23</v>
      </c>
      <c r="B1178">
        <v>13</v>
      </c>
      <c r="C1178" t="s">
        <v>884</v>
      </c>
      <c r="D1178" s="5">
        <v>0</v>
      </c>
      <c r="E1178" t="s">
        <v>2499</v>
      </c>
    </row>
    <row r="1179" spans="1:5" hidden="1" x14ac:dyDescent="0.25">
      <c r="A1179">
        <v>23</v>
      </c>
      <c r="B1179">
        <v>13</v>
      </c>
      <c r="C1179" t="s">
        <v>39</v>
      </c>
      <c r="D1179" s="4">
        <v>0</v>
      </c>
      <c r="E1179" t="s">
        <v>39</v>
      </c>
    </row>
    <row r="1180" spans="1:5" x14ac:dyDescent="0.25">
      <c r="A1180">
        <v>23</v>
      </c>
      <c r="B1180">
        <v>13</v>
      </c>
      <c r="C1180" t="s">
        <v>885</v>
      </c>
      <c r="D1180" s="5">
        <v>0</v>
      </c>
      <c r="E1180" t="s">
        <v>2500</v>
      </c>
    </row>
    <row r="1181" spans="1:5" hidden="1" x14ac:dyDescent="0.25">
      <c r="A1181">
        <v>23</v>
      </c>
      <c r="B1181">
        <v>13</v>
      </c>
      <c r="C1181" t="s">
        <v>39</v>
      </c>
      <c r="D1181" s="4">
        <v>0</v>
      </c>
      <c r="E1181" t="s">
        <v>39</v>
      </c>
    </row>
    <row r="1182" spans="1:5" x14ac:dyDescent="0.25">
      <c r="A1182">
        <v>23</v>
      </c>
      <c r="B1182">
        <v>13</v>
      </c>
      <c r="C1182" t="s">
        <v>886</v>
      </c>
      <c r="D1182" s="5">
        <v>0</v>
      </c>
      <c r="E1182" t="s">
        <v>887</v>
      </c>
    </row>
    <row r="1183" spans="1:5" hidden="1" x14ac:dyDescent="0.25">
      <c r="A1183">
        <v>23</v>
      </c>
      <c r="B1183">
        <v>13</v>
      </c>
      <c r="C1183" t="s">
        <v>39</v>
      </c>
      <c r="D1183" s="4">
        <v>0</v>
      </c>
      <c r="E1183" t="s">
        <v>39</v>
      </c>
    </row>
    <row r="1184" spans="1:5" x14ac:dyDescent="0.25">
      <c r="A1184">
        <v>23</v>
      </c>
      <c r="B1184">
        <v>13</v>
      </c>
      <c r="C1184" t="s">
        <v>2501</v>
      </c>
      <c r="D1184" s="5">
        <v>50</v>
      </c>
      <c r="E1184" t="s">
        <v>2502</v>
      </c>
    </row>
    <row r="1185" spans="1:5" hidden="1" x14ac:dyDescent="0.25">
      <c r="A1185">
        <v>23</v>
      </c>
      <c r="B1185">
        <v>13</v>
      </c>
      <c r="C1185" t="s">
        <v>39</v>
      </c>
      <c r="D1185" s="4">
        <v>0</v>
      </c>
      <c r="E1185" t="s">
        <v>39</v>
      </c>
    </row>
    <row r="1186" spans="1:5" hidden="1" x14ac:dyDescent="0.25">
      <c r="A1186">
        <v>23</v>
      </c>
      <c r="B1186">
        <v>13</v>
      </c>
      <c r="C1186" t="s">
        <v>39</v>
      </c>
      <c r="D1186" s="4">
        <v>0</v>
      </c>
      <c r="E1186" t="s">
        <v>39</v>
      </c>
    </row>
    <row r="1187" spans="1:5" hidden="1" x14ac:dyDescent="0.25">
      <c r="A1187">
        <v>23</v>
      </c>
      <c r="B1187">
        <v>16</v>
      </c>
      <c r="C1187" t="s">
        <v>39</v>
      </c>
      <c r="D1187" s="4">
        <v>0</v>
      </c>
      <c r="E1187" t="s">
        <v>39</v>
      </c>
    </row>
    <row r="1188" spans="1:5" x14ac:dyDescent="0.25">
      <c r="A1188">
        <v>23</v>
      </c>
      <c r="B1188">
        <v>16</v>
      </c>
      <c r="C1188" t="s">
        <v>888</v>
      </c>
      <c r="D1188" s="5">
        <v>0</v>
      </c>
      <c r="E1188" t="s">
        <v>889</v>
      </c>
    </row>
    <row r="1189" spans="1:5" hidden="1" x14ac:dyDescent="0.25">
      <c r="A1189">
        <v>23</v>
      </c>
      <c r="B1189">
        <v>16</v>
      </c>
      <c r="C1189" t="s">
        <v>39</v>
      </c>
      <c r="D1189" s="4">
        <v>0</v>
      </c>
      <c r="E1189" t="s">
        <v>39</v>
      </c>
    </row>
    <row r="1190" spans="1:5" x14ac:dyDescent="0.25">
      <c r="A1190">
        <v>23</v>
      </c>
      <c r="B1190">
        <v>16</v>
      </c>
      <c r="C1190" t="s">
        <v>890</v>
      </c>
      <c r="D1190" s="5">
        <v>60</v>
      </c>
      <c r="E1190" t="s">
        <v>2503</v>
      </c>
    </row>
    <row r="1191" spans="1:5" hidden="1" x14ac:dyDescent="0.25">
      <c r="A1191">
        <v>23</v>
      </c>
      <c r="B1191">
        <v>16</v>
      </c>
      <c r="C1191" t="s">
        <v>39</v>
      </c>
      <c r="D1191" s="4">
        <v>0</v>
      </c>
      <c r="E1191" t="s">
        <v>39</v>
      </c>
    </row>
    <row r="1192" spans="1:5" hidden="1" x14ac:dyDescent="0.25">
      <c r="A1192">
        <v>23</v>
      </c>
      <c r="B1192">
        <v>16</v>
      </c>
      <c r="C1192" t="s">
        <v>39</v>
      </c>
      <c r="D1192" s="4">
        <v>0</v>
      </c>
      <c r="E1192" t="s">
        <v>39</v>
      </c>
    </row>
    <row r="1193" spans="1:5" x14ac:dyDescent="0.25">
      <c r="A1193">
        <v>23</v>
      </c>
      <c r="B1193">
        <v>16</v>
      </c>
      <c r="C1193" t="s">
        <v>891</v>
      </c>
      <c r="D1193" s="5">
        <v>25</v>
      </c>
      <c r="E1193" t="s">
        <v>892</v>
      </c>
    </row>
    <row r="1194" spans="1:5" hidden="1" x14ac:dyDescent="0.25">
      <c r="A1194">
        <v>23</v>
      </c>
      <c r="B1194">
        <v>16</v>
      </c>
      <c r="C1194" t="s">
        <v>39</v>
      </c>
      <c r="D1194" s="4">
        <v>0</v>
      </c>
      <c r="E1194" t="s">
        <v>39</v>
      </c>
    </row>
    <row r="1195" spans="1:5" hidden="1" x14ac:dyDescent="0.25">
      <c r="A1195">
        <v>23</v>
      </c>
      <c r="B1195">
        <v>16</v>
      </c>
      <c r="C1195" t="s">
        <v>39</v>
      </c>
      <c r="D1195" s="4">
        <v>0</v>
      </c>
      <c r="E1195" t="s">
        <v>39</v>
      </c>
    </row>
    <row r="1196" spans="1:5" hidden="1" x14ac:dyDescent="0.25">
      <c r="A1196">
        <v>23</v>
      </c>
      <c r="B1196">
        <v>20</v>
      </c>
      <c r="C1196" t="s">
        <v>39</v>
      </c>
      <c r="D1196" s="4">
        <v>0</v>
      </c>
      <c r="E1196" t="s">
        <v>39</v>
      </c>
    </row>
    <row r="1197" spans="1:5" x14ac:dyDescent="0.25">
      <c r="A1197">
        <v>23</v>
      </c>
      <c r="B1197">
        <v>20</v>
      </c>
      <c r="C1197" t="s">
        <v>893</v>
      </c>
      <c r="D1197" s="5">
        <v>0</v>
      </c>
      <c r="E1197" t="s">
        <v>894</v>
      </c>
    </row>
    <row r="1198" spans="1:5" hidden="1" x14ac:dyDescent="0.25">
      <c r="A1198">
        <v>23</v>
      </c>
      <c r="B1198">
        <v>20</v>
      </c>
      <c r="C1198" t="s">
        <v>39</v>
      </c>
      <c r="D1198" s="4">
        <v>0</v>
      </c>
      <c r="E1198" t="s">
        <v>39</v>
      </c>
    </row>
    <row r="1199" spans="1:5" x14ac:dyDescent="0.25">
      <c r="A1199">
        <v>23</v>
      </c>
      <c r="B1199">
        <v>20</v>
      </c>
      <c r="C1199" t="s">
        <v>895</v>
      </c>
      <c r="D1199" s="5">
        <v>0</v>
      </c>
      <c r="E1199" t="s">
        <v>2504</v>
      </c>
    </row>
    <row r="1200" spans="1:5" hidden="1" x14ac:dyDescent="0.25">
      <c r="A1200">
        <v>23</v>
      </c>
      <c r="B1200">
        <v>20</v>
      </c>
      <c r="C1200" t="s">
        <v>39</v>
      </c>
      <c r="D1200" s="4">
        <v>0</v>
      </c>
      <c r="E1200" t="s">
        <v>39</v>
      </c>
    </row>
    <row r="1201" spans="1:5" x14ac:dyDescent="0.25">
      <c r="A1201">
        <v>23</v>
      </c>
      <c r="B1201">
        <v>20</v>
      </c>
      <c r="C1201" t="s">
        <v>120</v>
      </c>
      <c r="D1201" s="5">
        <v>0</v>
      </c>
      <c r="E1201" t="s">
        <v>121</v>
      </c>
    </row>
    <row r="1202" spans="1:5" hidden="1" x14ac:dyDescent="0.25">
      <c r="A1202">
        <v>23</v>
      </c>
      <c r="B1202">
        <v>20</v>
      </c>
      <c r="C1202" t="s">
        <v>39</v>
      </c>
      <c r="D1202" s="4">
        <v>0</v>
      </c>
      <c r="E1202" t="s">
        <v>39</v>
      </c>
    </row>
    <row r="1203" spans="1:5" x14ac:dyDescent="0.25">
      <c r="A1203">
        <v>23</v>
      </c>
      <c r="B1203">
        <v>20</v>
      </c>
      <c r="C1203" t="s">
        <v>193</v>
      </c>
      <c r="D1203" s="5">
        <v>70</v>
      </c>
      <c r="E1203" t="s">
        <v>194</v>
      </c>
    </row>
    <row r="1204" spans="1:5" x14ac:dyDescent="0.25">
      <c r="A1204">
        <v>24</v>
      </c>
      <c r="B1204">
        <v>1</v>
      </c>
      <c r="C1204" t="s">
        <v>896</v>
      </c>
      <c r="D1204" s="5">
        <v>0</v>
      </c>
      <c r="E1204" t="s">
        <v>897</v>
      </c>
    </row>
    <row r="1205" spans="1:5" hidden="1" x14ac:dyDescent="0.25">
      <c r="A1205">
        <v>24</v>
      </c>
      <c r="B1205">
        <v>1</v>
      </c>
      <c r="C1205" t="s">
        <v>39</v>
      </c>
      <c r="D1205" s="4">
        <v>0</v>
      </c>
      <c r="E1205" t="s">
        <v>39</v>
      </c>
    </row>
    <row r="1206" spans="1:5" x14ac:dyDescent="0.25">
      <c r="A1206">
        <v>24</v>
      </c>
      <c r="B1206">
        <v>1</v>
      </c>
      <c r="C1206" t="s">
        <v>898</v>
      </c>
      <c r="D1206" s="5">
        <v>0</v>
      </c>
      <c r="E1206" t="s">
        <v>899</v>
      </c>
    </row>
    <row r="1207" spans="1:5" hidden="1" x14ac:dyDescent="0.25">
      <c r="A1207">
        <v>24</v>
      </c>
      <c r="B1207">
        <v>1</v>
      </c>
      <c r="C1207" t="s">
        <v>39</v>
      </c>
      <c r="D1207" s="4">
        <v>0</v>
      </c>
      <c r="E1207" t="s">
        <v>39</v>
      </c>
    </row>
    <row r="1208" spans="1:5" x14ac:dyDescent="0.25">
      <c r="A1208">
        <v>24</v>
      </c>
      <c r="B1208">
        <v>1</v>
      </c>
      <c r="C1208" t="s">
        <v>900</v>
      </c>
      <c r="D1208" s="5">
        <v>0</v>
      </c>
      <c r="E1208" t="s">
        <v>901</v>
      </c>
    </row>
    <row r="1209" spans="1:5" hidden="1" x14ac:dyDescent="0.25">
      <c r="A1209">
        <v>24</v>
      </c>
      <c r="B1209">
        <v>1</v>
      </c>
      <c r="C1209" t="s">
        <v>39</v>
      </c>
      <c r="D1209" s="4">
        <v>0</v>
      </c>
      <c r="E1209" t="s">
        <v>39</v>
      </c>
    </row>
    <row r="1210" spans="1:5" hidden="1" x14ac:dyDescent="0.25">
      <c r="A1210">
        <v>24</v>
      </c>
      <c r="B1210">
        <v>4</v>
      </c>
      <c r="C1210" t="s">
        <v>39</v>
      </c>
      <c r="D1210" s="4">
        <v>0</v>
      </c>
      <c r="E1210" t="s">
        <v>39</v>
      </c>
    </row>
    <row r="1211" spans="1:5" x14ac:dyDescent="0.25">
      <c r="A1211">
        <v>24</v>
      </c>
      <c r="B1211">
        <v>4</v>
      </c>
      <c r="C1211" t="s">
        <v>902</v>
      </c>
      <c r="D1211" s="5">
        <v>45</v>
      </c>
      <c r="E1211" t="s">
        <v>903</v>
      </c>
    </row>
    <row r="1212" spans="1:5" hidden="1" x14ac:dyDescent="0.25">
      <c r="A1212">
        <v>24</v>
      </c>
      <c r="B1212">
        <v>4</v>
      </c>
      <c r="C1212" t="s">
        <v>39</v>
      </c>
      <c r="D1212" s="4">
        <v>0</v>
      </c>
      <c r="E1212" t="s">
        <v>39</v>
      </c>
    </row>
    <row r="1213" spans="1:5" hidden="1" x14ac:dyDescent="0.25">
      <c r="A1213">
        <v>24</v>
      </c>
      <c r="B1213">
        <v>4</v>
      </c>
      <c r="C1213" t="s">
        <v>39</v>
      </c>
      <c r="D1213" s="4">
        <v>0</v>
      </c>
      <c r="E1213" t="s">
        <v>39</v>
      </c>
    </row>
    <row r="1214" spans="1:5" x14ac:dyDescent="0.25">
      <c r="A1214">
        <v>24</v>
      </c>
      <c r="B1214">
        <v>4</v>
      </c>
      <c r="C1214" t="s">
        <v>904</v>
      </c>
      <c r="D1214" s="5">
        <v>30</v>
      </c>
      <c r="E1214" t="s">
        <v>905</v>
      </c>
    </row>
    <row r="1215" spans="1:5" hidden="1" x14ac:dyDescent="0.25">
      <c r="A1215">
        <v>24</v>
      </c>
      <c r="B1215">
        <v>4</v>
      </c>
      <c r="C1215" t="s">
        <v>39</v>
      </c>
      <c r="D1215" s="4">
        <v>0</v>
      </c>
      <c r="E1215" t="s">
        <v>39</v>
      </c>
    </row>
    <row r="1216" spans="1:5" hidden="1" x14ac:dyDescent="0.25">
      <c r="A1216">
        <v>24</v>
      </c>
      <c r="B1216">
        <v>4</v>
      </c>
      <c r="C1216" t="s">
        <v>39</v>
      </c>
      <c r="D1216" s="4">
        <v>0</v>
      </c>
      <c r="E1216" t="s">
        <v>39</v>
      </c>
    </row>
    <row r="1217" spans="1:5" x14ac:dyDescent="0.25">
      <c r="A1217">
        <v>24</v>
      </c>
      <c r="B1217">
        <v>4</v>
      </c>
      <c r="C1217" t="s">
        <v>906</v>
      </c>
      <c r="D1217" s="5">
        <v>20</v>
      </c>
      <c r="E1217" t="s">
        <v>907</v>
      </c>
    </row>
    <row r="1218" spans="1:5" hidden="1" x14ac:dyDescent="0.25">
      <c r="A1218">
        <v>24</v>
      </c>
      <c r="B1218">
        <v>4</v>
      </c>
      <c r="C1218" t="s">
        <v>39</v>
      </c>
      <c r="D1218" s="4">
        <v>0</v>
      </c>
      <c r="E1218" t="s">
        <v>39</v>
      </c>
    </row>
    <row r="1219" spans="1:5" hidden="1" x14ac:dyDescent="0.25">
      <c r="A1219">
        <v>24</v>
      </c>
      <c r="B1219">
        <v>4</v>
      </c>
      <c r="C1219" t="s">
        <v>39</v>
      </c>
      <c r="D1219" s="4">
        <v>0</v>
      </c>
      <c r="E1219" t="s">
        <v>39</v>
      </c>
    </row>
    <row r="1220" spans="1:5" hidden="1" x14ac:dyDescent="0.25">
      <c r="A1220">
        <v>24</v>
      </c>
      <c r="B1220">
        <v>7</v>
      </c>
      <c r="C1220" t="s">
        <v>39</v>
      </c>
      <c r="D1220" s="4">
        <v>0</v>
      </c>
      <c r="E1220" t="s">
        <v>39</v>
      </c>
    </row>
    <row r="1221" spans="1:5" x14ac:dyDescent="0.25">
      <c r="A1221">
        <v>24</v>
      </c>
      <c r="B1221">
        <v>7</v>
      </c>
      <c r="C1221" t="s">
        <v>908</v>
      </c>
      <c r="D1221" s="5">
        <v>0</v>
      </c>
      <c r="E1221" t="s">
        <v>2505</v>
      </c>
    </row>
    <row r="1222" spans="1:5" hidden="1" x14ac:dyDescent="0.25">
      <c r="A1222">
        <v>24</v>
      </c>
      <c r="B1222">
        <v>7</v>
      </c>
      <c r="C1222" t="s">
        <v>39</v>
      </c>
      <c r="D1222" s="4">
        <v>0</v>
      </c>
      <c r="E1222" t="s">
        <v>39</v>
      </c>
    </row>
    <row r="1223" spans="1:5" x14ac:dyDescent="0.25">
      <c r="A1223">
        <v>24</v>
      </c>
      <c r="B1223">
        <v>7</v>
      </c>
      <c r="C1223" t="s">
        <v>909</v>
      </c>
      <c r="D1223" s="5">
        <v>0</v>
      </c>
      <c r="E1223" t="s">
        <v>2506</v>
      </c>
    </row>
    <row r="1224" spans="1:5" hidden="1" x14ac:dyDescent="0.25">
      <c r="A1224">
        <v>24</v>
      </c>
      <c r="B1224">
        <v>7</v>
      </c>
      <c r="C1224" t="s">
        <v>39</v>
      </c>
      <c r="D1224" s="4">
        <v>0</v>
      </c>
      <c r="E1224" t="s">
        <v>39</v>
      </c>
    </row>
    <row r="1225" spans="1:5" x14ac:dyDescent="0.25">
      <c r="A1225">
        <v>24</v>
      </c>
      <c r="B1225">
        <v>7</v>
      </c>
      <c r="C1225" t="s">
        <v>910</v>
      </c>
      <c r="D1225" s="5">
        <v>0</v>
      </c>
      <c r="E1225" t="s">
        <v>911</v>
      </c>
    </row>
    <row r="1226" spans="1:5" hidden="1" x14ac:dyDescent="0.25">
      <c r="A1226">
        <v>24</v>
      </c>
      <c r="B1226">
        <v>7</v>
      </c>
      <c r="C1226" t="s">
        <v>39</v>
      </c>
      <c r="D1226" s="4">
        <v>0</v>
      </c>
      <c r="E1226" t="s">
        <v>39</v>
      </c>
    </row>
    <row r="1227" spans="1:5" hidden="1" x14ac:dyDescent="0.25">
      <c r="A1227">
        <v>24</v>
      </c>
      <c r="B1227">
        <v>10</v>
      </c>
      <c r="C1227" t="s">
        <v>39</v>
      </c>
      <c r="D1227" s="4">
        <v>0</v>
      </c>
      <c r="E1227" t="s">
        <v>39</v>
      </c>
    </row>
    <row r="1228" spans="1:5" x14ac:dyDescent="0.25">
      <c r="A1228">
        <v>24</v>
      </c>
      <c r="B1228">
        <v>10</v>
      </c>
      <c r="C1228" t="s">
        <v>912</v>
      </c>
      <c r="D1228" s="5">
        <v>0</v>
      </c>
      <c r="E1228" t="s">
        <v>913</v>
      </c>
    </row>
    <row r="1229" spans="1:5" hidden="1" x14ac:dyDescent="0.25">
      <c r="A1229">
        <v>24</v>
      </c>
      <c r="B1229">
        <v>10</v>
      </c>
      <c r="C1229" t="s">
        <v>39</v>
      </c>
      <c r="D1229" s="4">
        <v>0</v>
      </c>
      <c r="E1229" t="s">
        <v>39</v>
      </c>
    </row>
    <row r="1230" spans="1:5" x14ac:dyDescent="0.25">
      <c r="A1230">
        <v>24</v>
      </c>
      <c r="B1230">
        <v>10</v>
      </c>
      <c r="C1230" t="s">
        <v>914</v>
      </c>
      <c r="D1230" s="5">
        <v>0</v>
      </c>
      <c r="E1230" t="s">
        <v>915</v>
      </c>
    </row>
    <row r="1231" spans="1:5" hidden="1" x14ac:dyDescent="0.25">
      <c r="A1231">
        <v>24</v>
      </c>
      <c r="B1231">
        <v>10</v>
      </c>
      <c r="C1231" t="s">
        <v>39</v>
      </c>
      <c r="D1231" s="4">
        <v>0</v>
      </c>
      <c r="E1231" t="s">
        <v>39</v>
      </c>
    </row>
    <row r="1232" spans="1:5" hidden="1" x14ac:dyDescent="0.25">
      <c r="A1232">
        <v>24</v>
      </c>
      <c r="B1232">
        <v>13</v>
      </c>
      <c r="C1232" t="s">
        <v>39</v>
      </c>
      <c r="D1232" s="4">
        <v>0</v>
      </c>
      <c r="E1232" t="s">
        <v>39</v>
      </c>
    </row>
    <row r="1233" spans="1:5" x14ac:dyDescent="0.25">
      <c r="A1233">
        <v>24</v>
      </c>
      <c r="B1233">
        <v>13</v>
      </c>
      <c r="C1233" t="s">
        <v>916</v>
      </c>
      <c r="D1233" s="5">
        <v>0</v>
      </c>
      <c r="E1233" t="s">
        <v>917</v>
      </c>
    </row>
    <row r="1234" spans="1:5" hidden="1" x14ac:dyDescent="0.25">
      <c r="A1234">
        <v>24</v>
      </c>
      <c r="B1234">
        <v>13</v>
      </c>
      <c r="C1234" t="s">
        <v>39</v>
      </c>
      <c r="D1234" s="4">
        <v>0</v>
      </c>
      <c r="E1234" t="s">
        <v>39</v>
      </c>
    </row>
    <row r="1235" spans="1:5" x14ac:dyDescent="0.25">
      <c r="A1235">
        <v>24</v>
      </c>
      <c r="B1235">
        <v>13</v>
      </c>
      <c r="C1235" t="s">
        <v>918</v>
      </c>
      <c r="D1235" s="5">
        <v>0</v>
      </c>
      <c r="E1235" t="s">
        <v>2507</v>
      </c>
    </row>
    <row r="1236" spans="1:5" hidden="1" x14ac:dyDescent="0.25">
      <c r="A1236">
        <v>24</v>
      </c>
      <c r="B1236">
        <v>13</v>
      </c>
      <c r="C1236" t="s">
        <v>39</v>
      </c>
      <c r="D1236" s="4">
        <v>0</v>
      </c>
      <c r="E1236" t="s">
        <v>39</v>
      </c>
    </row>
    <row r="1237" spans="1:5" x14ac:dyDescent="0.25">
      <c r="A1237">
        <v>24</v>
      </c>
      <c r="B1237">
        <v>13</v>
      </c>
      <c r="C1237" t="s">
        <v>812</v>
      </c>
      <c r="D1237" s="5">
        <v>0</v>
      </c>
      <c r="E1237" t="s">
        <v>919</v>
      </c>
    </row>
    <row r="1238" spans="1:5" hidden="1" x14ac:dyDescent="0.25">
      <c r="A1238">
        <v>24</v>
      </c>
      <c r="B1238">
        <v>13</v>
      </c>
      <c r="C1238" t="s">
        <v>39</v>
      </c>
      <c r="D1238" s="4">
        <v>0</v>
      </c>
      <c r="E1238" t="s">
        <v>39</v>
      </c>
    </row>
    <row r="1239" spans="1:5" x14ac:dyDescent="0.25">
      <c r="A1239">
        <v>24</v>
      </c>
      <c r="B1239">
        <v>13</v>
      </c>
      <c r="C1239" t="s">
        <v>731</v>
      </c>
      <c r="D1239" s="5">
        <v>0</v>
      </c>
      <c r="E1239" t="s">
        <v>920</v>
      </c>
    </row>
    <row r="1240" spans="1:5" hidden="1" x14ac:dyDescent="0.25">
      <c r="A1240">
        <v>24</v>
      </c>
      <c r="B1240">
        <v>13</v>
      </c>
      <c r="C1240" t="s">
        <v>39</v>
      </c>
      <c r="D1240" s="4">
        <v>0</v>
      </c>
      <c r="E1240" t="s">
        <v>39</v>
      </c>
    </row>
    <row r="1241" spans="1:5" hidden="1" x14ac:dyDescent="0.25">
      <c r="A1241">
        <v>24</v>
      </c>
      <c r="B1241">
        <v>16</v>
      </c>
      <c r="C1241" t="s">
        <v>39</v>
      </c>
      <c r="D1241" s="4">
        <v>0</v>
      </c>
      <c r="E1241" t="s">
        <v>39</v>
      </c>
    </row>
    <row r="1242" spans="1:5" x14ac:dyDescent="0.25">
      <c r="A1242">
        <v>24</v>
      </c>
      <c r="B1242">
        <v>16</v>
      </c>
      <c r="C1242" t="s">
        <v>921</v>
      </c>
      <c r="D1242" s="5">
        <v>0</v>
      </c>
      <c r="E1242" t="s">
        <v>922</v>
      </c>
    </row>
    <row r="1243" spans="1:5" hidden="1" x14ac:dyDescent="0.25">
      <c r="A1243">
        <v>24</v>
      </c>
      <c r="B1243">
        <v>16</v>
      </c>
      <c r="C1243" t="s">
        <v>39</v>
      </c>
      <c r="D1243" s="4">
        <v>0</v>
      </c>
      <c r="E1243" t="s">
        <v>39</v>
      </c>
    </row>
    <row r="1244" spans="1:5" x14ac:dyDescent="0.25">
      <c r="A1244">
        <v>24</v>
      </c>
      <c r="B1244">
        <v>16</v>
      </c>
      <c r="C1244" t="s">
        <v>923</v>
      </c>
      <c r="D1244" s="5">
        <v>0</v>
      </c>
      <c r="E1244" t="s">
        <v>924</v>
      </c>
    </row>
    <row r="1245" spans="1:5" hidden="1" x14ac:dyDescent="0.25">
      <c r="A1245">
        <v>24</v>
      </c>
      <c r="B1245">
        <v>16</v>
      </c>
      <c r="C1245" t="s">
        <v>39</v>
      </c>
      <c r="D1245" s="4">
        <v>0</v>
      </c>
      <c r="E1245" t="s">
        <v>39</v>
      </c>
    </row>
    <row r="1246" spans="1:5" x14ac:dyDescent="0.25">
      <c r="A1246">
        <v>24</v>
      </c>
      <c r="B1246">
        <v>16</v>
      </c>
      <c r="C1246" t="s">
        <v>925</v>
      </c>
      <c r="D1246" s="5">
        <v>0</v>
      </c>
      <c r="E1246" t="s">
        <v>926</v>
      </c>
    </row>
    <row r="1247" spans="1:5" hidden="1" x14ac:dyDescent="0.25">
      <c r="A1247">
        <v>24</v>
      </c>
      <c r="B1247">
        <v>16</v>
      </c>
      <c r="C1247" t="s">
        <v>39</v>
      </c>
      <c r="D1247" s="4">
        <v>0</v>
      </c>
      <c r="E1247" t="s">
        <v>39</v>
      </c>
    </row>
    <row r="1248" spans="1:5" x14ac:dyDescent="0.25">
      <c r="A1248">
        <v>24</v>
      </c>
      <c r="B1248">
        <v>16</v>
      </c>
      <c r="C1248" t="s">
        <v>927</v>
      </c>
      <c r="D1248" s="5">
        <v>0</v>
      </c>
      <c r="E1248" t="s">
        <v>928</v>
      </c>
    </row>
    <row r="1249" spans="1:5" hidden="1" x14ac:dyDescent="0.25">
      <c r="A1249">
        <v>24</v>
      </c>
      <c r="B1249">
        <v>16</v>
      </c>
      <c r="C1249" t="s">
        <v>39</v>
      </c>
      <c r="D1249" s="4">
        <v>0</v>
      </c>
      <c r="E1249" t="s">
        <v>39</v>
      </c>
    </row>
    <row r="1250" spans="1:5" hidden="1" x14ac:dyDescent="0.25">
      <c r="A1250">
        <v>24</v>
      </c>
      <c r="B1250">
        <v>20</v>
      </c>
      <c r="C1250" t="s">
        <v>39</v>
      </c>
      <c r="D1250" s="4">
        <v>0</v>
      </c>
      <c r="E1250" t="s">
        <v>39</v>
      </c>
    </row>
    <row r="1251" spans="1:5" x14ac:dyDescent="0.25">
      <c r="A1251">
        <v>24</v>
      </c>
      <c r="B1251">
        <v>20</v>
      </c>
      <c r="C1251" t="s">
        <v>929</v>
      </c>
      <c r="D1251" s="5">
        <v>0</v>
      </c>
      <c r="E1251" t="s">
        <v>2508</v>
      </c>
    </row>
    <row r="1252" spans="1:5" hidden="1" x14ac:dyDescent="0.25">
      <c r="A1252">
        <v>24</v>
      </c>
      <c r="B1252">
        <v>20</v>
      </c>
      <c r="C1252" t="s">
        <v>39</v>
      </c>
      <c r="D1252" s="4">
        <v>0</v>
      </c>
      <c r="E1252" t="s">
        <v>39</v>
      </c>
    </row>
    <row r="1253" spans="1:5" x14ac:dyDescent="0.25">
      <c r="A1253">
        <v>24</v>
      </c>
      <c r="B1253">
        <v>20</v>
      </c>
      <c r="C1253" t="s">
        <v>930</v>
      </c>
      <c r="D1253" s="5">
        <v>0</v>
      </c>
      <c r="E1253" t="s">
        <v>931</v>
      </c>
    </row>
    <row r="1254" spans="1:5" hidden="1" x14ac:dyDescent="0.25">
      <c r="A1254">
        <v>24</v>
      </c>
      <c r="B1254">
        <v>20</v>
      </c>
      <c r="C1254" t="s">
        <v>39</v>
      </c>
      <c r="D1254" s="4">
        <v>0</v>
      </c>
      <c r="E1254" t="s">
        <v>39</v>
      </c>
    </row>
    <row r="1255" spans="1:5" x14ac:dyDescent="0.25">
      <c r="A1255">
        <v>24</v>
      </c>
      <c r="B1255">
        <v>20</v>
      </c>
      <c r="C1255" t="s">
        <v>245</v>
      </c>
      <c r="D1255" s="5">
        <v>45</v>
      </c>
      <c r="E1255" t="s">
        <v>246</v>
      </c>
    </row>
    <row r="1256" spans="1:5" hidden="1" x14ac:dyDescent="0.25">
      <c r="A1256">
        <v>24</v>
      </c>
      <c r="B1256">
        <v>20</v>
      </c>
      <c r="C1256" t="s">
        <v>39</v>
      </c>
      <c r="D1256" s="4">
        <v>0</v>
      </c>
      <c r="E1256" t="s">
        <v>39</v>
      </c>
    </row>
    <row r="1257" spans="1:5" hidden="1" x14ac:dyDescent="0.25">
      <c r="A1257">
        <v>24</v>
      </c>
      <c r="B1257">
        <v>20</v>
      </c>
      <c r="C1257" t="s">
        <v>39</v>
      </c>
      <c r="D1257" s="4">
        <v>0</v>
      </c>
      <c r="E1257" t="s">
        <v>39</v>
      </c>
    </row>
    <row r="1258" spans="1:5" x14ac:dyDescent="0.25">
      <c r="A1258">
        <v>24</v>
      </c>
      <c r="B1258">
        <v>20</v>
      </c>
      <c r="C1258" t="s">
        <v>932</v>
      </c>
      <c r="D1258" s="5">
        <v>60</v>
      </c>
      <c r="E1258" t="s">
        <v>933</v>
      </c>
    </row>
    <row r="1259" spans="1:5" x14ac:dyDescent="0.25">
      <c r="A1259">
        <v>25</v>
      </c>
      <c r="B1259">
        <v>1</v>
      </c>
      <c r="C1259" t="s">
        <v>934</v>
      </c>
      <c r="D1259" s="5">
        <v>0</v>
      </c>
      <c r="E1259" t="s">
        <v>935</v>
      </c>
    </row>
    <row r="1260" spans="1:5" hidden="1" x14ac:dyDescent="0.25">
      <c r="A1260">
        <v>25</v>
      </c>
      <c r="B1260">
        <v>1</v>
      </c>
      <c r="C1260" t="s">
        <v>39</v>
      </c>
      <c r="D1260" s="4">
        <v>0</v>
      </c>
      <c r="E1260" t="s">
        <v>39</v>
      </c>
    </row>
    <row r="1261" spans="1:5" x14ac:dyDescent="0.25">
      <c r="A1261">
        <v>25</v>
      </c>
      <c r="B1261">
        <v>1</v>
      </c>
      <c r="C1261" t="s">
        <v>936</v>
      </c>
      <c r="D1261" s="5">
        <v>0</v>
      </c>
      <c r="E1261" t="s">
        <v>937</v>
      </c>
    </row>
    <row r="1262" spans="1:5" hidden="1" x14ac:dyDescent="0.25">
      <c r="A1262">
        <v>25</v>
      </c>
      <c r="B1262">
        <v>1</v>
      </c>
      <c r="C1262" t="s">
        <v>39</v>
      </c>
      <c r="D1262" s="4">
        <v>0</v>
      </c>
      <c r="E1262" t="s">
        <v>39</v>
      </c>
    </row>
    <row r="1263" spans="1:5" x14ac:dyDescent="0.25">
      <c r="A1263">
        <v>25</v>
      </c>
      <c r="B1263">
        <v>1</v>
      </c>
      <c r="C1263" t="s">
        <v>122</v>
      </c>
      <c r="D1263" s="5">
        <v>0</v>
      </c>
      <c r="E1263" t="s">
        <v>123</v>
      </c>
    </row>
    <row r="1264" spans="1:5" hidden="1" x14ac:dyDescent="0.25">
      <c r="A1264">
        <v>25</v>
      </c>
      <c r="B1264">
        <v>1</v>
      </c>
      <c r="C1264" t="s">
        <v>39</v>
      </c>
      <c r="D1264" s="4">
        <v>0</v>
      </c>
      <c r="E1264" t="s">
        <v>39</v>
      </c>
    </row>
    <row r="1265" spans="1:5" x14ac:dyDescent="0.25">
      <c r="A1265">
        <v>25</v>
      </c>
      <c r="B1265">
        <v>1</v>
      </c>
      <c r="C1265" t="s">
        <v>938</v>
      </c>
      <c r="D1265" s="5">
        <v>0</v>
      </c>
      <c r="E1265" t="s">
        <v>939</v>
      </c>
    </row>
    <row r="1266" spans="1:5" hidden="1" x14ac:dyDescent="0.25">
      <c r="A1266">
        <v>25</v>
      </c>
      <c r="B1266">
        <v>1</v>
      </c>
      <c r="C1266" t="s">
        <v>39</v>
      </c>
      <c r="D1266" s="4">
        <v>0</v>
      </c>
      <c r="E1266" t="s">
        <v>39</v>
      </c>
    </row>
    <row r="1267" spans="1:5" hidden="1" x14ac:dyDescent="0.25">
      <c r="A1267">
        <v>25</v>
      </c>
      <c r="B1267">
        <v>4</v>
      </c>
      <c r="C1267" t="s">
        <v>39</v>
      </c>
      <c r="D1267" s="4">
        <v>0</v>
      </c>
      <c r="E1267" t="s">
        <v>39</v>
      </c>
    </row>
    <row r="1268" spans="1:5" x14ac:dyDescent="0.25">
      <c r="A1268">
        <v>25</v>
      </c>
      <c r="B1268">
        <v>4</v>
      </c>
      <c r="C1268" t="s">
        <v>940</v>
      </c>
      <c r="D1268" s="5">
        <v>0</v>
      </c>
      <c r="E1268" t="s">
        <v>941</v>
      </c>
    </row>
    <row r="1269" spans="1:5" hidden="1" x14ac:dyDescent="0.25">
      <c r="A1269">
        <v>25</v>
      </c>
      <c r="B1269">
        <v>4</v>
      </c>
      <c r="C1269" t="s">
        <v>39</v>
      </c>
      <c r="D1269" s="4">
        <v>0</v>
      </c>
      <c r="E1269" t="s">
        <v>39</v>
      </c>
    </row>
    <row r="1270" spans="1:5" x14ac:dyDescent="0.25">
      <c r="A1270">
        <v>25</v>
      </c>
      <c r="B1270">
        <v>4</v>
      </c>
      <c r="C1270" t="s">
        <v>942</v>
      </c>
      <c r="D1270" s="5">
        <v>0</v>
      </c>
      <c r="E1270" t="s">
        <v>943</v>
      </c>
    </row>
    <row r="1271" spans="1:5" hidden="1" x14ac:dyDescent="0.25">
      <c r="A1271">
        <v>25</v>
      </c>
      <c r="B1271">
        <v>4</v>
      </c>
      <c r="C1271" t="s">
        <v>39</v>
      </c>
      <c r="D1271" s="4">
        <v>0</v>
      </c>
      <c r="E1271" t="s">
        <v>39</v>
      </c>
    </row>
    <row r="1272" spans="1:5" x14ac:dyDescent="0.25">
      <c r="A1272">
        <v>25</v>
      </c>
      <c r="B1272">
        <v>4</v>
      </c>
      <c r="C1272" t="s">
        <v>944</v>
      </c>
      <c r="D1272" s="5">
        <v>0</v>
      </c>
      <c r="E1272" t="s">
        <v>945</v>
      </c>
    </row>
    <row r="1273" spans="1:5" hidden="1" x14ac:dyDescent="0.25">
      <c r="A1273">
        <v>25</v>
      </c>
      <c r="B1273">
        <v>4</v>
      </c>
      <c r="C1273" t="s">
        <v>39</v>
      </c>
      <c r="D1273" s="4">
        <v>0</v>
      </c>
      <c r="E1273" t="s">
        <v>39</v>
      </c>
    </row>
    <row r="1274" spans="1:5" x14ac:dyDescent="0.25">
      <c r="A1274">
        <v>25</v>
      </c>
      <c r="B1274">
        <v>4</v>
      </c>
      <c r="C1274" t="s">
        <v>946</v>
      </c>
      <c r="D1274" s="5">
        <v>0</v>
      </c>
      <c r="E1274" t="s">
        <v>2509</v>
      </c>
    </row>
    <row r="1275" spans="1:5" hidden="1" x14ac:dyDescent="0.25">
      <c r="A1275">
        <v>25</v>
      </c>
      <c r="B1275">
        <v>4</v>
      </c>
      <c r="C1275" t="s">
        <v>39</v>
      </c>
      <c r="D1275" s="4">
        <v>0</v>
      </c>
      <c r="E1275" t="s">
        <v>39</v>
      </c>
    </row>
    <row r="1276" spans="1:5" hidden="1" x14ac:dyDescent="0.25">
      <c r="A1276">
        <v>25</v>
      </c>
      <c r="B1276">
        <v>7</v>
      </c>
      <c r="C1276" t="s">
        <v>39</v>
      </c>
      <c r="D1276" s="4">
        <v>0</v>
      </c>
      <c r="E1276" t="s">
        <v>39</v>
      </c>
    </row>
    <row r="1277" spans="1:5" x14ac:dyDescent="0.25">
      <c r="A1277">
        <v>25</v>
      </c>
      <c r="B1277">
        <v>7</v>
      </c>
      <c r="C1277" t="s">
        <v>947</v>
      </c>
      <c r="D1277" s="5">
        <v>0</v>
      </c>
      <c r="E1277" t="s">
        <v>948</v>
      </c>
    </row>
    <row r="1278" spans="1:5" hidden="1" x14ac:dyDescent="0.25">
      <c r="A1278">
        <v>25</v>
      </c>
      <c r="B1278">
        <v>7</v>
      </c>
      <c r="C1278" t="s">
        <v>39</v>
      </c>
      <c r="D1278" s="4">
        <v>0</v>
      </c>
      <c r="E1278" t="s">
        <v>39</v>
      </c>
    </row>
    <row r="1279" spans="1:5" x14ac:dyDescent="0.25">
      <c r="A1279">
        <v>25</v>
      </c>
      <c r="B1279">
        <v>7</v>
      </c>
      <c r="C1279" t="s">
        <v>949</v>
      </c>
      <c r="D1279" s="5">
        <v>0</v>
      </c>
      <c r="E1279" t="s">
        <v>950</v>
      </c>
    </row>
    <row r="1280" spans="1:5" hidden="1" x14ac:dyDescent="0.25">
      <c r="A1280">
        <v>25</v>
      </c>
      <c r="B1280">
        <v>7</v>
      </c>
      <c r="C1280" t="s">
        <v>39</v>
      </c>
      <c r="D1280" s="4">
        <v>0</v>
      </c>
      <c r="E1280" t="s">
        <v>39</v>
      </c>
    </row>
    <row r="1281" spans="1:5" x14ac:dyDescent="0.25">
      <c r="A1281">
        <v>25</v>
      </c>
      <c r="B1281">
        <v>7</v>
      </c>
      <c r="C1281" t="s">
        <v>951</v>
      </c>
      <c r="D1281" s="5">
        <v>0</v>
      </c>
      <c r="E1281" t="s">
        <v>952</v>
      </c>
    </row>
    <row r="1282" spans="1:5" hidden="1" x14ac:dyDescent="0.25">
      <c r="A1282">
        <v>25</v>
      </c>
      <c r="B1282">
        <v>7</v>
      </c>
      <c r="C1282" t="s">
        <v>39</v>
      </c>
      <c r="D1282" s="4">
        <v>0</v>
      </c>
      <c r="E1282" t="s">
        <v>39</v>
      </c>
    </row>
    <row r="1283" spans="1:5" x14ac:dyDescent="0.25">
      <c r="A1283">
        <v>25</v>
      </c>
      <c r="B1283">
        <v>7</v>
      </c>
      <c r="C1283" t="s">
        <v>953</v>
      </c>
      <c r="D1283" s="5">
        <v>0</v>
      </c>
      <c r="E1283" t="s">
        <v>954</v>
      </c>
    </row>
    <row r="1284" spans="1:5" hidden="1" x14ac:dyDescent="0.25">
      <c r="A1284">
        <v>25</v>
      </c>
      <c r="B1284">
        <v>7</v>
      </c>
      <c r="C1284" t="s">
        <v>39</v>
      </c>
      <c r="D1284" s="4">
        <v>0</v>
      </c>
      <c r="E1284" t="s">
        <v>39</v>
      </c>
    </row>
    <row r="1285" spans="1:5" hidden="1" x14ac:dyDescent="0.25">
      <c r="A1285">
        <v>25</v>
      </c>
      <c r="B1285">
        <v>10</v>
      </c>
      <c r="C1285" t="s">
        <v>39</v>
      </c>
      <c r="D1285" s="4">
        <v>0</v>
      </c>
      <c r="E1285" t="s">
        <v>39</v>
      </c>
    </row>
    <row r="1286" spans="1:5" x14ac:dyDescent="0.25">
      <c r="A1286">
        <v>25</v>
      </c>
      <c r="B1286">
        <v>10</v>
      </c>
      <c r="C1286" t="s">
        <v>955</v>
      </c>
      <c r="D1286" s="5">
        <v>0</v>
      </c>
      <c r="E1286" t="s">
        <v>956</v>
      </c>
    </row>
    <row r="1287" spans="1:5" hidden="1" x14ac:dyDescent="0.25">
      <c r="A1287">
        <v>25</v>
      </c>
      <c r="B1287">
        <v>10</v>
      </c>
      <c r="C1287" t="s">
        <v>39</v>
      </c>
      <c r="D1287" s="4">
        <v>0</v>
      </c>
      <c r="E1287" t="s">
        <v>39</v>
      </c>
    </row>
    <row r="1288" spans="1:5" x14ac:dyDescent="0.25">
      <c r="A1288">
        <v>25</v>
      </c>
      <c r="B1288">
        <v>10</v>
      </c>
      <c r="C1288" t="s">
        <v>957</v>
      </c>
      <c r="D1288" s="5">
        <v>0</v>
      </c>
      <c r="E1288" t="s">
        <v>958</v>
      </c>
    </row>
    <row r="1289" spans="1:5" hidden="1" x14ac:dyDescent="0.25">
      <c r="A1289">
        <v>25</v>
      </c>
      <c r="B1289">
        <v>10</v>
      </c>
      <c r="C1289" t="s">
        <v>39</v>
      </c>
      <c r="D1289" s="4">
        <v>0</v>
      </c>
      <c r="E1289" t="s">
        <v>39</v>
      </c>
    </row>
    <row r="1290" spans="1:5" hidden="1" x14ac:dyDescent="0.25">
      <c r="A1290">
        <v>25</v>
      </c>
      <c r="B1290">
        <v>13</v>
      </c>
      <c r="C1290" t="s">
        <v>39</v>
      </c>
      <c r="D1290" s="4">
        <v>0</v>
      </c>
      <c r="E1290" t="s">
        <v>39</v>
      </c>
    </row>
    <row r="1291" spans="1:5" x14ac:dyDescent="0.25">
      <c r="A1291">
        <v>25</v>
      </c>
      <c r="B1291">
        <v>13</v>
      </c>
      <c r="C1291" t="s">
        <v>66</v>
      </c>
      <c r="D1291" s="5">
        <v>0</v>
      </c>
      <c r="E1291" t="s">
        <v>67</v>
      </c>
    </row>
    <row r="1292" spans="1:5" hidden="1" x14ac:dyDescent="0.25">
      <c r="A1292">
        <v>25</v>
      </c>
      <c r="B1292">
        <v>13</v>
      </c>
      <c r="C1292" t="s">
        <v>39</v>
      </c>
      <c r="D1292" s="4">
        <v>0</v>
      </c>
      <c r="E1292" t="s">
        <v>39</v>
      </c>
    </row>
    <row r="1293" spans="1:5" x14ac:dyDescent="0.25">
      <c r="A1293">
        <v>25</v>
      </c>
      <c r="B1293">
        <v>13</v>
      </c>
      <c r="C1293" t="s">
        <v>959</v>
      </c>
      <c r="D1293" s="5">
        <v>0</v>
      </c>
      <c r="E1293" t="s">
        <v>2510</v>
      </c>
    </row>
    <row r="1294" spans="1:5" hidden="1" x14ac:dyDescent="0.25">
      <c r="A1294">
        <v>25</v>
      </c>
      <c r="B1294">
        <v>13</v>
      </c>
      <c r="C1294" t="s">
        <v>39</v>
      </c>
      <c r="D1294" s="4">
        <v>0</v>
      </c>
      <c r="E1294" t="s">
        <v>39</v>
      </c>
    </row>
    <row r="1295" spans="1:5" x14ac:dyDescent="0.25">
      <c r="A1295">
        <v>25</v>
      </c>
      <c r="B1295">
        <v>13</v>
      </c>
      <c r="C1295" t="s">
        <v>960</v>
      </c>
      <c r="D1295" s="5">
        <v>0</v>
      </c>
      <c r="E1295" t="s">
        <v>961</v>
      </c>
    </row>
    <row r="1296" spans="1:5" hidden="1" x14ac:dyDescent="0.25">
      <c r="A1296">
        <v>25</v>
      </c>
      <c r="B1296">
        <v>13</v>
      </c>
      <c r="C1296" t="s">
        <v>39</v>
      </c>
      <c r="D1296" s="4">
        <v>0</v>
      </c>
      <c r="E1296" t="s">
        <v>39</v>
      </c>
    </row>
    <row r="1297" spans="1:5" x14ac:dyDescent="0.25">
      <c r="A1297">
        <v>25</v>
      </c>
      <c r="B1297">
        <v>13</v>
      </c>
      <c r="C1297" t="s">
        <v>812</v>
      </c>
      <c r="D1297" s="5">
        <v>0</v>
      </c>
      <c r="E1297" t="s">
        <v>813</v>
      </c>
    </row>
    <row r="1298" spans="1:5" hidden="1" x14ac:dyDescent="0.25">
      <c r="A1298">
        <v>25</v>
      </c>
      <c r="B1298">
        <v>13</v>
      </c>
      <c r="C1298" t="s">
        <v>39</v>
      </c>
      <c r="D1298" s="4">
        <v>0</v>
      </c>
      <c r="E1298" t="s">
        <v>39</v>
      </c>
    </row>
    <row r="1299" spans="1:5" hidden="1" x14ac:dyDescent="0.25">
      <c r="A1299">
        <v>25</v>
      </c>
      <c r="B1299">
        <v>16</v>
      </c>
      <c r="C1299" t="s">
        <v>39</v>
      </c>
      <c r="D1299" s="4">
        <v>0</v>
      </c>
      <c r="E1299" t="s">
        <v>39</v>
      </c>
    </row>
    <row r="1300" spans="1:5" x14ac:dyDescent="0.25">
      <c r="A1300">
        <v>25</v>
      </c>
      <c r="B1300">
        <v>16</v>
      </c>
      <c r="C1300" t="s">
        <v>962</v>
      </c>
      <c r="D1300" s="5">
        <v>0</v>
      </c>
      <c r="E1300" t="s">
        <v>963</v>
      </c>
    </row>
    <row r="1301" spans="1:5" hidden="1" x14ac:dyDescent="0.25">
      <c r="A1301">
        <v>25</v>
      </c>
      <c r="B1301">
        <v>16</v>
      </c>
      <c r="C1301" t="s">
        <v>39</v>
      </c>
      <c r="D1301" s="4">
        <v>0</v>
      </c>
      <c r="E1301" t="s">
        <v>39</v>
      </c>
    </row>
    <row r="1302" spans="1:5" x14ac:dyDescent="0.25">
      <c r="A1302">
        <v>25</v>
      </c>
      <c r="B1302">
        <v>16</v>
      </c>
      <c r="C1302" t="s">
        <v>964</v>
      </c>
      <c r="D1302" s="5">
        <v>0</v>
      </c>
      <c r="E1302" t="s">
        <v>965</v>
      </c>
    </row>
    <row r="1303" spans="1:5" hidden="1" x14ac:dyDescent="0.25">
      <c r="A1303">
        <v>25</v>
      </c>
      <c r="B1303">
        <v>16</v>
      </c>
      <c r="C1303" t="s">
        <v>39</v>
      </c>
      <c r="D1303" s="4">
        <v>0</v>
      </c>
      <c r="E1303" t="s">
        <v>39</v>
      </c>
    </row>
    <row r="1304" spans="1:5" x14ac:dyDescent="0.25">
      <c r="A1304">
        <v>25</v>
      </c>
      <c r="B1304">
        <v>16</v>
      </c>
      <c r="C1304" t="s">
        <v>966</v>
      </c>
      <c r="D1304" s="5">
        <v>0</v>
      </c>
      <c r="E1304" t="s">
        <v>967</v>
      </c>
    </row>
    <row r="1305" spans="1:5" hidden="1" x14ac:dyDescent="0.25">
      <c r="A1305">
        <v>25</v>
      </c>
      <c r="B1305">
        <v>16</v>
      </c>
      <c r="C1305" t="s">
        <v>39</v>
      </c>
      <c r="D1305" s="4">
        <v>0</v>
      </c>
      <c r="E1305" t="s">
        <v>39</v>
      </c>
    </row>
    <row r="1306" spans="1:5" x14ac:dyDescent="0.25">
      <c r="A1306">
        <v>25</v>
      </c>
      <c r="B1306">
        <v>16</v>
      </c>
      <c r="C1306" t="s">
        <v>509</v>
      </c>
      <c r="D1306" s="5">
        <v>0</v>
      </c>
      <c r="E1306" t="s">
        <v>820</v>
      </c>
    </row>
    <row r="1307" spans="1:5" hidden="1" x14ac:dyDescent="0.25">
      <c r="A1307">
        <v>25</v>
      </c>
      <c r="B1307">
        <v>16</v>
      </c>
      <c r="C1307" t="s">
        <v>39</v>
      </c>
      <c r="D1307" s="4">
        <v>0</v>
      </c>
      <c r="E1307" t="s">
        <v>39</v>
      </c>
    </row>
    <row r="1308" spans="1:5" hidden="1" x14ac:dyDescent="0.25">
      <c r="A1308">
        <v>25</v>
      </c>
      <c r="B1308">
        <v>20</v>
      </c>
      <c r="C1308" t="s">
        <v>39</v>
      </c>
      <c r="D1308" s="4">
        <v>0</v>
      </c>
      <c r="E1308" t="s">
        <v>39</v>
      </c>
    </row>
    <row r="1309" spans="1:5" x14ac:dyDescent="0.25">
      <c r="A1309">
        <v>25</v>
      </c>
      <c r="B1309">
        <v>20</v>
      </c>
      <c r="C1309" t="s">
        <v>968</v>
      </c>
      <c r="D1309" s="5">
        <v>0</v>
      </c>
      <c r="E1309" t="s">
        <v>969</v>
      </c>
    </row>
    <row r="1310" spans="1:5" hidden="1" x14ac:dyDescent="0.25">
      <c r="A1310">
        <v>25</v>
      </c>
      <c r="B1310">
        <v>20</v>
      </c>
      <c r="C1310" t="s">
        <v>39</v>
      </c>
      <c r="D1310" s="4">
        <v>0</v>
      </c>
      <c r="E1310" t="s">
        <v>39</v>
      </c>
    </row>
    <row r="1311" spans="1:5" x14ac:dyDescent="0.25">
      <c r="A1311">
        <v>25</v>
      </c>
      <c r="B1311">
        <v>20</v>
      </c>
      <c r="C1311" t="s">
        <v>970</v>
      </c>
      <c r="D1311" s="5">
        <v>0</v>
      </c>
      <c r="E1311" t="s">
        <v>971</v>
      </c>
    </row>
    <row r="1312" spans="1:5" hidden="1" x14ac:dyDescent="0.25">
      <c r="A1312">
        <v>25</v>
      </c>
      <c r="B1312">
        <v>20</v>
      </c>
      <c r="C1312" t="s">
        <v>39</v>
      </c>
      <c r="D1312" s="4">
        <v>0</v>
      </c>
      <c r="E1312" t="s">
        <v>39</v>
      </c>
    </row>
    <row r="1313" spans="1:5" x14ac:dyDescent="0.25">
      <c r="A1313">
        <v>25</v>
      </c>
      <c r="B1313">
        <v>20</v>
      </c>
      <c r="C1313" t="s">
        <v>972</v>
      </c>
      <c r="D1313" s="5">
        <v>0</v>
      </c>
      <c r="E1313" t="s">
        <v>2511</v>
      </c>
    </row>
    <row r="1314" spans="1:5" hidden="1" x14ac:dyDescent="0.25">
      <c r="A1314">
        <v>25</v>
      </c>
      <c r="B1314">
        <v>20</v>
      </c>
      <c r="C1314" t="s">
        <v>39</v>
      </c>
      <c r="D1314" s="4">
        <v>0</v>
      </c>
      <c r="E1314" t="s">
        <v>39</v>
      </c>
    </row>
    <row r="1315" spans="1:5" x14ac:dyDescent="0.25">
      <c r="A1315">
        <v>25</v>
      </c>
      <c r="B1315">
        <v>20</v>
      </c>
      <c r="C1315" t="s">
        <v>78</v>
      </c>
      <c r="D1315" s="5">
        <v>0</v>
      </c>
      <c r="E1315" t="s">
        <v>79</v>
      </c>
    </row>
    <row r="1316" spans="1:5" x14ac:dyDescent="0.25">
      <c r="A1316">
        <v>26</v>
      </c>
      <c r="B1316">
        <v>1</v>
      </c>
      <c r="C1316" t="s">
        <v>2483</v>
      </c>
      <c r="D1316" s="5">
        <v>0</v>
      </c>
      <c r="E1316" t="s">
        <v>973</v>
      </c>
    </row>
    <row r="1317" spans="1:5" hidden="1" x14ac:dyDescent="0.25">
      <c r="A1317">
        <v>26</v>
      </c>
      <c r="B1317">
        <v>1</v>
      </c>
      <c r="C1317" t="s">
        <v>39</v>
      </c>
      <c r="D1317" s="4">
        <v>0</v>
      </c>
      <c r="E1317" t="s">
        <v>39</v>
      </c>
    </row>
    <row r="1318" spans="1:5" x14ac:dyDescent="0.25">
      <c r="A1318">
        <v>26</v>
      </c>
      <c r="B1318">
        <v>1</v>
      </c>
      <c r="C1318" t="s">
        <v>974</v>
      </c>
      <c r="D1318" s="5">
        <v>0</v>
      </c>
      <c r="E1318" t="s">
        <v>975</v>
      </c>
    </row>
    <row r="1319" spans="1:5" hidden="1" x14ac:dyDescent="0.25">
      <c r="A1319">
        <v>26</v>
      </c>
      <c r="B1319">
        <v>1</v>
      </c>
      <c r="C1319" t="s">
        <v>39</v>
      </c>
      <c r="D1319" s="4">
        <v>0</v>
      </c>
      <c r="E1319" t="s">
        <v>39</v>
      </c>
    </row>
    <row r="1320" spans="1:5" x14ac:dyDescent="0.25">
      <c r="A1320">
        <v>26</v>
      </c>
      <c r="B1320">
        <v>1</v>
      </c>
      <c r="C1320" t="s">
        <v>976</v>
      </c>
      <c r="D1320" s="5">
        <v>0</v>
      </c>
      <c r="E1320" t="s">
        <v>977</v>
      </c>
    </row>
    <row r="1321" spans="1:5" hidden="1" x14ac:dyDescent="0.25">
      <c r="A1321">
        <v>26</v>
      </c>
      <c r="B1321">
        <v>1</v>
      </c>
      <c r="C1321" t="s">
        <v>39</v>
      </c>
      <c r="D1321" s="4">
        <v>0</v>
      </c>
      <c r="E1321" t="s">
        <v>39</v>
      </c>
    </row>
    <row r="1322" spans="1:5" x14ac:dyDescent="0.25">
      <c r="A1322">
        <v>26</v>
      </c>
      <c r="B1322">
        <v>1</v>
      </c>
      <c r="C1322" t="s">
        <v>978</v>
      </c>
      <c r="D1322" s="5">
        <v>0</v>
      </c>
      <c r="E1322" t="s">
        <v>979</v>
      </c>
    </row>
    <row r="1323" spans="1:5" hidden="1" x14ac:dyDescent="0.25">
      <c r="A1323">
        <v>26</v>
      </c>
      <c r="B1323">
        <v>1</v>
      </c>
      <c r="C1323" t="s">
        <v>39</v>
      </c>
      <c r="D1323" s="4">
        <v>0</v>
      </c>
      <c r="E1323" t="s">
        <v>39</v>
      </c>
    </row>
    <row r="1324" spans="1:5" hidden="1" x14ac:dyDescent="0.25">
      <c r="A1324">
        <v>26</v>
      </c>
      <c r="B1324">
        <v>4</v>
      </c>
      <c r="C1324" t="s">
        <v>39</v>
      </c>
      <c r="D1324" s="4">
        <v>0</v>
      </c>
      <c r="E1324" t="s">
        <v>39</v>
      </c>
    </row>
    <row r="1325" spans="1:5" x14ac:dyDescent="0.25">
      <c r="A1325">
        <v>26</v>
      </c>
      <c r="B1325">
        <v>4</v>
      </c>
      <c r="C1325" t="s">
        <v>980</v>
      </c>
      <c r="D1325" s="5">
        <v>0</v>
      </c>
      <c r="E1325" t="s">
        <v>981</v>
      </c>
    </row>
    <row r="1326" spans="1:5" hidden="1" x14ac:dyDescent="0.25">
      <c r="A1326">
        <v>26</v>
      </c>
      <c r="B1326">
        <v>4</v>
      </c>
      <c r="C1326" t="s">
        <v>39</v>
      </c>
      <c r="D1326" s="4">
        <v>0</v>
      </c>
      <c r="E1326" t="s">
        <v>39</v>
      </c>
    </row>
    <row r="1327" spans="1:5" x14ac:dyDescent="0.25">
      <c r="A1327">
        <v>26</v>
      </c>
      <c r="B1327">
        <v>4</v>
      </c>
      <c r="C1327" t="s">
        <v>982</v>
      </c>
      <c r="D1327" s="5">
        <v>0</v>
      </c>
      <c r="E1327" t="s">
        <v>983</v>
      </c>
    </row>
    <row r="1328" spans="1:5" hidden="1" x14ac:dyDescent="0.25">
      <c r="A1328">
        <v>26</v>
      </c>
      <c r="B1328">
        <v>4</v>
      </c>
      <c r="C1328" t="s">
        <v>39</v>
      </c>
      <c r="D1328" s="4">
        <v>0</v>
      </c>
      <c r="E1328" t="s">
        <v>39</v>
      </c>
    </row>
    <row r="1329" spans="1:5" x14ac:dyDescent="0.25">
      <c r="A1329">
        <v>26</v>
      </c>
      <c r="B1329">
        <v>4</v>
      </c>
      <c r="C1329" t="s">
        <v>984</v>
      </c>
      <c r="D1329" s="5">
        <v>0</v>
      </c>
      <c r="E1329" t="s">
        <v>985</v>
      </c>
    </row>
    <row r="1330" spans="1:5" hidden="1" x14ac:dyDescent="0.25">
      <c r="A1330">
        <v>26</v>
      </c>
      <c r="B1330">
        <v>4</v>
      </c>
      <c r="C1330" t="s">
        <v>39</v>
      </c>
      <c r="D1330" s="4">
        <v>0</v>
      </c>
      <c r="E1330" t="s">
        <v>39</v>
      </c>
    </row>
    <row r="1331" spans="1:5" x14ac:dyDescent="0.25">
      <c r="A1331">
        <v>26</v>
      </c>
      <c r="B1331">
        <v>4</v>
      </c>
      <c r="C1331" t="s">
        <v>986</v>
      </c>
      <c r="D1331" s="5">
        <v>0</v>
      </c>
      <c r="E1331" t="s">
        <v>987</v>
      </c>
    </row>
    <row r="1332" spans="1:5" hidden="1" x14ac:dyDescent="0.25">
      <c r="A1332">
        <v>26</v>
      </c>
      <c r="B1332">
        <v>4</v>
      </c>
      <c r="C1332" t="s">
        <v>39</v>
      </c>
      <c r="D1332" s="4">
        <v>0</v>
      </c>
      <c r="E1332" t="s">
        <v>39</v>
      </c>
    </row>
    <row r="1333" spans="1:5" hidden="1" x14ac:dyDescent="0.25">
      <c r="A1333">
        <v>26</v>
      </c>
      <c r="B1333">
        <v>7</v>
      </c>
      <c r="C1333" t="s">
        <v>39</v>
      </c>
      <c r="D1333" s="4">
        <v>0</v>
      </c>
      <c r="E1333" t="s">
        <v>39</v>
      </c>
    </row>
    <row r="1334" spans="1:5" x14ac:dyDescent="0.25">
      <c r="A1334">
        <v>26</v>
      </c>
      <c r="B1334">
        <v>7</v>
      </c>
      <c r="C1334" t="s">
        <v>988</v>
      </c>
      <c r="D1334" s="5">
        <v>0</v>
      </c>
      <c r="E1334" t="s">
        <v>989</v>
      </c>
    </row>
    <row r="1335" spans="1:5" hidden="1" x14ac:dyDescent="0.25">
      <c r="A1335">
        <v>26</v>
      </c>
      <c r="B1335">
        <v>7</v>
      </c>
      <c r="C1335" t="s">
        <v>39</v>
      </c>
      <c r="D1335" s="4">
        <v>0</v>
      </c>
      <c r="E1335" t="s">
        <v>39</v>
      </c>
    </row>
    <row r="1336" spans="1:5" x14ac:dyDescent="0.25">
      <c r="A1336">
        <v>26</v>
      </c>
      <c r="B1336">
        <v>7</v>
      </c>
      <c r="C1336" t="s">
        <v>990</v>
      </c>
      <c r="D1336" s="5">
        <v>0</v>
      </c>
      <c r="E1336" t="s">
        <v>991</v>
      </c>
    </row>
    <row r="1337" spans="1:5" hidden="1" x14ac:dyDescent="0.25">
      <c r="A1337">
        <v>26</v>
      </c>
      <c r="B1337">
        <v>7</v>
      </c>
      <c r="C1337" t="s">
        <v>39</v>
      </c>
      <c r="D1337" s="4">
        <v>0</v>
      </c>
      <c r="E1337" t="s">
        <v>39</v>
      </c>
    </row>
    <row r="1338" spans="1:5" x14ac:dyDescent="0.25">
      <c r="A1338">
        <v>26</v>
      </c>
      <c r="B1338">
        <v>7</v>
      </c>
      <c r="C1338" t="s">
        <v>992</v>
      </c>
      <c r="D1338" s="5">
        <v>0</v>
      </c>
      <c r="E1338" t="s">
        <v>2512</v>
      </c>
    </row>
    <row r="1339" spans="1:5" hidden="1" x14ac:dyDescent="0.25">
      <c r="A1339">
        <v>26</v>
      </c>
      <c r="B1339">
        <v>7</v>
      </c>
      <c r="C1339" t="s">
        <v>39</v>
      </c>
      <c r="D1339" s="4">
        <v>0</v>
      </c>
      <c r="E1339" t="s">
        <v>39</v>
      </c>
    </row>
    <row r="1340" spans="1:5" x14ac:dyDescent="0.25">
      <c r="A1340">
        <v>26</v>
      </c>
      <c r="B1340">
        <v>7</v>
      </c>
      <c r="C1340" t="s">
        <v>217</v>
      </c>
      <c r="D1340" s="5">
        <v>0</v>
      </c>
      <c r="E1340" t="s">
        <v>218</v>
      </c>
    </row>
    <row r="1341" spans="1:5" hidden="1" x14ac:dyDescent="0.25">
      <c r="A1341">
        <v>26</v>
      </c>
      <c r="B1341">
        <v>7</v>
      </c>
      <c r="C1341" t="s">
        <v>39</v>
      </c>
      <c r="D1341" s="4">
        <v>0</v>
      </c>
      <c r="E1341" t="s">
        <v>39</v>
      </c>
    </row>
    <row r="1342" spans="1:5" hidden="1" x14ac:dyDescent="0.25">
      <c r="A1342">
        <v>26</v>
      </c>
      <c r="B1342">
        <v>10</v>
      </c>
      <c r="C1342" t="s">
        <v>39</v>
      </c>
      <c r="D1342" s="4">
        <v>0</v>
      </c>
      <c r="E1342" t="s">
        <v>39</v>
      </c>
    </row>
    <row r="1343" spans="1:5" x14ac:dyDescent="0.25">
      <c r="A1343">
        <v>26</v>
      </c>
      <c r="B1343">
        <v>10</v>
      </c>
      <c r="C1343" t="s">
        <v>993</v>
      </c>
      <c r="D1343" s="5">
        <v>0</v>
      </c>
      <c r="E1343" t="s">
        <v>994</v>
      </c>
    </row>
    <row r="1344" spans="1:5" hidden="1" x14ac:dyDescent="0.25">
      <c r="A1344">
        <v>26</v>
      </c>
      <c r="B1344">
        <v>10</v>
      </c>
      <c r="C1344" t="s">
        <v>39</v>
      </c>
      <c r="D1344" s="4">
        <v>0</v>
      </c>
      <c r="E1344" t="s">
        <v>39</v>
      </c>
    </row>
    <row r="1345" spans="1:5" x14ac:dyDescent="0.25">
      <c r="A1345">
        <v>26</v>
      </c>
      <c r="B1345">
        <v>10</v>
      </c>
      <c r="C1345" t="s">
        <v>995</v>
      </c>
      <c r="D1345" s="5">
        <v>0</v>
      </c>
      <c r="E1345" t="s">
        <v>996</v>
      </c>
    </row>
    <row r="1346" spans="1:5" hidden="1" x14ac:dyDescent="0.25">
      <c r="A1346">
        <v>26</v>
      </c>
      <c r="B1346">
        <v>10</v>
      </c>
      <c r="C1346" t="s">
        <v>39</v>
      </c>
      <c r="D1346" s="4">
        <v>0</v>
      </c>
      <c r="E1346" t="s">
        <v>39</v>
      </c>
    </row>
    <row r="1347" spans="1:5" hidden="1" x14ac:dyDescent="0.25">
      <c r="A1347">
        <v>26</v>
      </c>
      <c r="B1347">
        <v>13</v>
      </c>
      <c r="C1347" t="s">
        <v>39</v>
      </c>
      <c r="D1347" s="4">
        <v>0</v>
      </c>
      <c r="E1347" t="s">
        <v>39</v>
      </c>
    </row>
    <row r="1348" spans="1:5" x14ac:dyDescent="0.25">
      <c r="A1348">
        <v>26</v>
      </c>
      <c r="B1348">
        <v>13</v>
      </c>
      <c r="C1348" t="s">
        <v>997</v>
      </c>
      <c r="D1348" s="5">
        <v>0</v>
      </c>
      <c r="E1348" t="s">
        <v>998</v>
      </c>
    </row>
    <row r="1349" spans="1:5" hidden="1" x14ac:dyDescent="0.25">
      <c r="A1349">
        <v>26</v>
      </c>
      <c r="B1349">
        <v>13</v>
      </c>
      <c r="C1349" t="s">
        <v>39</v>
      </c>
      <c r="D1349" s="4">
        <v>0</v>
      </c>
      <c r="E1349" t="s">
        <v>39</v>
      </c>
    </row>
    <row r="1350" spans="1:5" x14ac:dyDescent="0.25">
      <c r="A1350">
        <v>26</v>
      </c>
      <c r="B1350">
        <v>13</v>
      </c>
      <c r="C1350" t="s">
        <v>999</v>
      </c>
      <c r="D1350" s="5">
        <v>0</v>
      </c>
      <c r="E1350" t="s">
        <v>1000</v>
      </c>
    </row>
    <row r="1351" spans="1:5" hidden="1" x14ac:dyDescent="0.25">
      <c r="A1351">
        <v>26</v>
      </c>
      <c r="B1351">
        <v>13</v>
      </c>
      <c r="C1351" t="s">
        <v>39</v>
      </c>
      <c r="D1351" s="4">
        <v>0</v>
      </c>
      <c r="E1351" t="s">
        <v>39</v>
      </c>
    </row>
    <row r="1352" spans="1:5" x14ac:dyDescent="0.25">
      <c r="A1352">
        <v>26</v>
      </c>
      <c r="B1352">
        <v>13</v>
      </c>
      <c r="C1352" t="s">
        <v>1001</v>
      </c>
      <c r="D1352" s="5">
        <v>0</v>
      </c>
      <c r="E1352" t="s">
        <v>1002</v>
      </c>
    </row>
    <row r="1353" spans="1:5" hidden="1" x14ac:dyDescent="0.25">
      <c r="A1353">
        <v>26</v>
      </c>
      <c r="B1353">
        <v>13</v>
      </c>
      <c r="C1353" t="s">
        <v>39</v>
      </c>
      <c r="D1353" s="4">
        <v>0</v>
      </c>
      <c r="E1353" t="s">
        <v>39</v>
      </c>
    </row>
    <row r="1354" spans="1:5" x14ac:dyDescent="0.25">
      <c r="A1354">
        <v>26</v>
      </c>
      <c r="B1354">
        <v>13</v>
      </c>
      <c r="C1354" t="s">
        <v>1003</v>
      </c>
      <c r="D1354" s="5">
        <v>0</v>
      </c>
      <c r="E1354" t="s">
        <v>2513</v>
      </c>
    </row>
    <row r="1355" spans="1:5" hidden="1" x14ac:dyDescent="0.25">
      <c r="A1355">
        <v>26</v>
      </c>
      <c r="B1355">
        <v>13</v>
      </c>
      <c r="C1355" t="s">
        <v>39</v>
      </c>
      <c r="D1355" s="4">
        <v>0</v>
      </c>
      <c r="E1355" t="s">
        <v>39</v>
      </c>
    </row>
    <row r="1356" spans="1:5" hidden="1" x14ac:dyDescent="0.25">
      <c r="A1356">
        <v>26</v>
      </c>
      <c r="B1356">
        <v>16</v>
      </c>
      <c r="C1356" t="s">
        <v>39</v>
      </c>
      <c r="D1356" s="4">
        <v>0</v>
      </c>
      <c r="E1356" t="s">
        <v>39</v>
      </c>
    </row>
    <row r="1357" spans="1:5" x14ac:dyDescent="0.25">
      <c r="A1357">
        <v>26</v>
      </c>
      <c r="B1357">
        <v>16</v>
      </c>
      <c r="C1357" t="s">
        <v>1004</v>
      </c>
      <c r="D1357" s="5">
        <v>0</v>
      </c>
      <c r="E1357" t="s">
        <v>1005</v>
      </c>
    </row>
    <row r="1358" spans="1:5" hidden="1" x14ac:dyDescent="0.25">
      <c r="A1358">
        <v>26</v>
      </c>
      <c r="B1358">
        <v>16</v>
      </c>
      <c r="C1358" t="s">
        <v>39</v>
      </c>
      <c r="D1358" s="4">
        <v>0</v>
      </c>
      <c r="E1358" t="s">
        <v>39</v>
      </c>
    </row>
    <row r="1359" spans="1:5" x14ac:dyDescent="0.25">
      <c r="A1359">
        <v>26</v>
      </c>
      <c r="B1359">
        <v>16</v>
      </c>
      <c r="C1359" t="s">
        <v>1006</v>
      </c>
      <c r="D1359" s="5">
        <v>0</v>
      </c>
      <c r="E1359" t="s">
        <v>1007</v>
      </c>
    </row>
    <row r="1360" spans="1:5" hidden="1" x14ac:dyDescent="0.25">
      <c r="A1360">
        <v>26</v>
      </c>
      <c r="B1360">
        <v>16</v>
      </c>
      <c r="C1360" t="s">
        <v>39</v>
      </c>
      <c r="D1360" s="4">
        <v>0</v>
      </c>
      <c r="E1360" t="s">
        <v>39</v>
      </c>
    </row>
    <row r="1361" spans="1:5" x14ac:dyDescent="0.25">
      <c r="A1361">
        <v>26</v>
      </c>
      <c r="B1361">
        <v>16</v>
      </c>
      <c r="C1361" t="s">
        <v>1008</v>
      </c>
      <c r="D1361" s="5">
        <v>0</v>
      </c>
      <c r="E1361" t="s">
        <v>1009</v>
      </c>
    </row>
    <row r="1362" spans="1:5" hidden="1" x14ac:dyDescent="0.25">
      <c r="A1362">
        <v>26</v>
      </c>
      <c r="B1362">
        <v>16</v>
      </c>
      <c r="C1362" t="s">
        <v>39</v>
      </c>
      <c r="D1362" s="4">
        <v>0</v>
      </c>
      <c r="E1362" t="s">
        <v>39</v>
      </c>
    </row>
    <row r="1363" spans="1:5" x14ac:dyDescent="0.25">
      <c r="A1363">
        <v>26</v>
      </c>
      <c r="B1363">
        <v>16</v>
      </c>
      <c r="C1363" t="s">
        <v>1010</v>
      </c>
      <c r="D1363" s="5">
        <v>0</v>
      </c>
      <c r="E1363" t="s">
        <v>1011</v>
      </c>
    </row>
    <row r="1364" spans="1:5" hidden="1" x14ac:dyDescent="0.25">
      <c r="A1364">
        <v>26</v>
      </c>
      <c r="B1364">
        <v>16</v>
      </c>
      <c r="C1364" t="s">
        <v>39</v>
      </c>
      <c r="D1364" s="4">
        <v>0</v>
      </c>
      <c r="E1364" t="s">
        <v>39</v>
      </c>
    </row>
    <row r="1365" spans="1:5" hidden="1" x14ac:dyDescent="0.25">
      <c r="A1365">
        <v>26</v>
      </c>
      <c r="B1365">
        <v>20</v>
      </c>
      <c r="C1365" t="s">
        <v>39</v>
      </c>
      <c r="D1365" s="4">
        <v>0</v>
      </c>
      <c r="E1365" t="s">
        <v>39</v>
      </c>
    </row>
    <row r="1366" spans="1:5" x14ac:dyDescent="0.25">
      <c r="A1366">
        <v>26</v>
      </c>
      <c r="B1366">
        <v>20</v>
      </c>
      <c r="C1366" t="s">
        <v>1012</v>
      </c>
      <c r="D1366" s="5">
        <v>0</v>
      </c>
      <c r="E1366" t="s">
        <v>1013</v>
      </c>
    </row>
    <row r="1367" spans="1:5" hidden="1" x14ac:dyDescent="0.25">
      <c r="A1367">
        <v>26</v>
      </c>
      <c r="B1367">
        <v>20</v>
      </c>
      <c r="C1367" t="s">
        <v>39</v>
      </c>
      <c r="D1367" s="4">
        <v>0</v>
      </c>
      <c r="E1367" t="s">
        <v>39</v>
      </c>
    </row>
    <row r="1368" spans="1:5" x14ac:dyDescent="0.25">
      <c r="A1368">
        <v>26</v>
      </c>
      <c r="B1368">
        <v>20</v>
      </c>
      <c r="C1368" t="s">
        <v>1014</v>
      </c>
      <c r="D1368" s="5">
        <v>0</v>
      </c>
      <c r="E1368" t="s">
        <v>1015</v>
      </c>
    </row>
    <row r="1369" spans="1:5" hidden="1" x14ac:dyDescent="0.25">
      <c r="A1369">
        <v>26</v>
      </c>
      <c r="B1369">
        <v>20</v>
      </c>
      <c r="C1369" t="s">
        <v>39</v>
      </c>
      <c r="D1369" s="4">
        <v>0</v>
      </c>
      <c r="E1369" t="s">
        <v>39</v>
      </c>
    </row>
    <row r="1370" spans="1:5" x14ac:dyDescent="0.25">
      <c r="A1370">
        <v>26</v>
      </c>
      <c r="B1370">
        <v>20</v>
      </c>
      <c r="C1370" t="s">
        <v>1016</v>
      </c>
      <c r="D1370" s="5">
        <v>0</v>
      </c>
      <c r="E1370" t="s">
        <v>1017</v>
      </c>
    </row>
    <row r="1371" spans="1:5" hidden="1" x14ac:dyDescent="0.25">
      <c r="A1371">
        <v>26</v>
      </c>
      <c r="B1371">
        <v>20</v>
      </c>
      <c r="C1371" t="s">
        <v>39</v>
      </c>
      <c r="D1371" s="4">
        <v>0</v>
      </c>
      <c r="E1371" t="s">
        <v>39</v>
      </c>
    </row>
    <row r="1372" spans="1:5" x14ac:dyDescent="0.25">
      <c r="A1372">
        <v>26</v>
      </c>
      <c r="B1372">
        <v>20</v>
      </c>
      <c r="C1372" t="s">
        <v>245</v>
      </c>
      <c r="D1372" s="5">
        <v>0</v>
      </c>
      <c r="E1372" t="s">
        <v>246</v>
      </c>
    </row>
    <row r="1373" spans="1:5" hidden="1" x14ac:dyDescent="0.25">
      <c r="A1373">
        <v>26</v>
      </c>
      <c r="B1373">
        <v>20</v>
      </c>
      <c r="C1373" t="s">
        <v>39</v>
      </c>
      <c r="D1373" s="4">
        <v>0</v>
      </c>
      <c r="E1373" t="s">
        <v>39</v>
      </c>
    </row>
    <row r="1374" spans="1:5" x14ac:dyDescent="0.25">
      <c r="A1374">
        <v>26</v>
      </c>
      <c r="B1374">
        <v>20</v>
      </c>
      <c r="C1374" t="s">
        <v>193</v>
      </c>
      <c r="D1374" s="5">
        <v>0</v>
      </c>
      <c r="E1374" t="s">
        <v>194</v>
      </c>
    </row>
    <row r="1375" spans="1:5" x14ac:dyDescent="0.25">
      <c r="A1375">
        <v>27</v>
      </c>
      <c r="B1375">
        <v>1</v>
      </c>
      <c r="C1375" t="s">
        <v>1018</v>
      </c>
      <c r="D1375" s="5">
        <v>0</v>
      </c>
      <c r="E1375" t="s">
        <v>1019</v>
      </c>
    </row>
    <row r="1376" spans="1:5" hidden="1" x14ac:dyDescent="0.25">
      <c r="A1376">
        <v>27</v>
      </c>
      <c r="B1376">
        <v>1</v>
      </c>
      <c r="C1376" t="s">
        <v>39</v>
      </c>
      <c r="D1376" s="4">
        <v>0</v>
      </c>
      <c r="E1376" t="s">
        <v>39</v>
      </c>
    </row>
    <row r="1377" spans="1:5" x14ac:dyDescent="0.25">
      <c r="A1377">
        <v>27</v>
      </c>
      <c r="B1377">
        <v>1</v>
      </c>
      <c r="C1377" t="s">
        <v>1020</v>
      </c>
      <c r="D1377" s="5">
        <v>0</v>
      </c>
      <c r="E1377" t="s">
        <v>1021</v>
      </c>
    </row>
    <row r="1378" spans="1:5" hidden="1" x14ac:dyDescent="0.25">
      <c r="A1378">
        <v>27</v>
      </c>
      <c r="B1378">
        <v>1</v>
      </c>
      <c r="C1378" t="s">
        <v>39</v>
      </c>
      <c r="D1378" s="4">
        <v>0</v>
      </c>
      <c r="E1378" t="s">
        <v>39</v>
      </c>
    </row>
    <row r="1379" spans="1:5" x14ac:dyDescent="0.25">
      <c r="A1379">
        <v>27</v>
      </c>
      <c r="B1379">
        <v>1</v>
      </c>
      <c r="C1379" t="s">
        <v>1022</v>
      </c>
      <c r="D1379" s="5">
        <v>0</v>
      </c>
      <c r="E1379" t="s">
        <v>1023</v>
      </c>
    </row>
    <row r="1380" spans="1:5" hidden="1" x14ac:dyDescent="0.25">
      <c r="A1380">
        <v>27</v>
      </c>
      <c r="B1380">
        <v>1</v>
      </c>
      <c r="C1380" t="s">
        <v>39</v>
      </c>
      <c r="D1380" s="4">
        <v>0</v>
      </c>
      <c r="E1380" t="s">
        <v>39</v>
      </c>
    </row>
    <row r="1381" spans="1:5" x14ac:dyDescent="0.25">
      <c r="A1381">
        <v>27</v>
      </c>
      <c r="B1381">
        <v>1</v>
      </c>
      <c r="C1381" t="s">
        <v>1024</v>
      </c>
      <c r="D1381" s="5">
        <v>0</v>
      </c>
      <c r="E1381" t="s">
        <v>2514</v>
      </c>
    </row>
    <row r="1382" spans="1:5" hidden="1" x14ac:dyDescent="0.25">
      <c r="A1382">
        <v>27</v>
      </c>
      <c r="B1382">
        <v>1</v>
      </c>
      <c r="C1382" t="s">
        <v>39</v>
      </c>
      <c r="D1382" s="4">
        <v>0</v>
      </c>
      <c r="E1382" t="s">
        <v>39</v>
      </c>
    </row>
    <row r="1383" spans="1:5" hidden="1" x14ac:dyDescent="0.25">
      <c r="A1383">
        <v>27</v>
      </c>
      <c r="B1383">
        <v>4</v>
      </c>
      <c r="C1383" t="s">
        <v>39</v>
      </c>
      <c r="D1383" s="4">
        <v>0</v>
      </c>
      <c r="E1383" t="s">
        <v>39</v>
      </c>
    </row>
    <row r="1384" spans="1:5" x14ac:dyDescent="0.25">
      <c r="A1384">
        <v>27</v>
      </c>
      <c r="B1384">
        <v>4</v>
      </c>
      <c r="C1384" t="s">
        <v>1025</v>
      </c>
      <c r="D1384" s="5">
        <v>0</v>
      </c>
      <c r="E1384" t="s">
        <v>1026</v>
      </c>
    </row>
    <row r="1385" spans="1:5" hidden="1" x14ac:dyDescent="0.25">
      <c r="A1385">
        <v>27</v>
      </c>
      <c r="B1385">
        <v>4</v>
      </c>
      <c r="C1385" t="s">
        <v>39</v>
      </c>
      <c r="D1385" s="4">
        <v>0</v>
      </c>
      <c r="E1385" t="s">
        <v>39</v>
      </c>
    </row>
    <row r="1386" spans="1:5" x14ac:dyDescent="0.25">
      <c r="A1386">
        <v>27</v>
      </c>
      <c r="B1386">
        <v>4</v>
      </c>
      <c r="C1386" t="s">
        <v>1027</v>
      </c>
      <c r="D1386" s="5">
        <v>0</v>
      </c>
      <c r="E1386" t="s">
        <v>1028</v>
      </c>
    </row>
    <row r="1387" spans="1:5" hidden="1" x14ac:dyDescent="0.25">
      <c r="A1387">
        <v>27</v>
      </c>
      <c r="B1387">
        <v>4</v>
      </c>
      <c r="C1387" t="s">
        <v>39</v>
      </c>
      <c r="D1387" s="4">
        <v>0</v>
      </c>
      <c r="E1387" t="s">
        <v>39</v>
      </c>
    </row>
    <row r="1388" spans="1:5" x14ac:dyDescent="0.25">
      <c r="A1388">
        <v>27</v>
      </c>
      <c r="B1388">
        <v>4</v>
      </c>
      <c r="C1388" t="s">
        <v>1029</v>
      </c>
      <c r="D1388" s="5">
        <v>0</v>
      </c>
      <c r="E1388" t="s">
        <v>1030</v>
      </c>
    </row>
    <row r="1389" spans="1:5" hidden="1" x14ac:dyDescent="0.25">
      <c r="A1389">
        <v>27</v>
      </c>
      <c r="B1389">
        <v>4</v>
      </c>
      <c r="C1389" t="s">
        <v>39</v>
      </c>
      <c r="D1389" s="4">
        <v>0</v>
      </c>
      <c r="E1389" t="s">
        <v>39</v>
      </c>
    </row>
    <row r="1390" spans="1:5" hidden="1" x14ac:dyDescent="0.25">
      <c r="A1390">
        <v>27</v>
      </c>
      <c r="B1390">
        <v>7</v>
      </c>
      <c r="C1390" t="s">
        <v>39</v>
      </c>
      <c r="D1390" s="4">
        <v>0</v>
      </c>
      <c r="E1390" t="s">
        <v>39</v>
      </c>
    </row>
    <row r="1391" spans="1:5" x14ac:dyDescent="0.25">
      <c r="A1391">
        <v>27</v>
      </c>
      <c r="B1391">
        <v>7</v>
      </c>
      <c r="C1391" t="s">
        <v>1031</v>
      </c>
      <c r="D1391" s="5">
        <v>0</v>
      </c>
      <c r="E1391" t="s">
        <v>1032</v>
      </c>
    </row>
    <row r="1392" spans="1:5" hidden="1" x14ac:dyDescent="0.25">
      <c r="A1392">
        <v>27</v>
      </c>
      <c r="B1392">
        <v>7</v>
      </c>
      <c r="C1392" t="s">
        <v>39</v>
      </c>
      <c r="D1392" s="4">
        <v>0</v>
      </c>
      <c r="E1392" t="s">
        <v>39</v>
      </c>
    </row>
    <row r="1393" spans="1:5" x14ac:dyDescent="0.25">
      <c r="A1393">
        <v>27</v>
      </c>
      <c r="B1393">
        <v>7</v>
      </c>
      <c r="C1393" t="s">
        <v>2515</v>
      </c>
      <c r="D1393" s="5">
        <v>0</v>
      </c>
      <c r="E1393" t="s">
        <v>2516</v>
      </c>
    </row>
    <row r="1394" spans="1:5" hidden="1" x14ac:dyDescent="0.25">
      <c r="A1394">
        <v>27</v>
      </c>
      <c r="B1394">
        <v>7</v>
      </c>
      <c r="C1394" t="s">
        <v>39</v>
      </c>
      <c r="D1394" s="4">
        <v>0</v>
      </c>
      <c r="E1394" t="s">
        <v>39</v>
      </c>
    </row>
    <row r="1395" spans="1:5" x14ac:dyDescent="0.25">
      <c r="A1395">
        <v>27</v>
      </c>
      <c r="B1395">
        <v>7</v>
      </c>
      <c r="C1395" t="s">
        <v>1033</v>
      </c>
      <c r="D1395" s="5">
        <v>0</v>
      </c>
      <c r="E1395" t="s">
        <v>1034</v>
      </c>
    </row>
    <row r="1396" spans="1:5" hidden="1" x14ac:dyDescent="0.25">
      <c r="A1396">
        <v>27</v>
      </c>
      <c r="B1396">
        <v>7</v>
      </c>
      <c r="C1396" t="s">
        <v>39</v>
      </c>
      <c r="D1396" s="4">
        <v>0</v>
      </c>
      <c r="E1396" t="s">
        <v>39</v>
      </c>
    </row>
    <row r="1397" spans="1:5" hidden="1" x14ac:dyDescent="0.25">
      <c r="A1397">
        <v>27</v>
      </c>
      <c r="B1397">
        <v>10</v>
      </c>
      <c r="C1397" t="s">
        <v>39</v>
      </c>
      <c r="D1397" s="4">
        <v>0</v>
      </c>
      <c r="E1397" t="s">
        <v>39</v>
      </c>
    </row>
    <row r="1398" spans="1:5" x14ac:dyDescent="0.25">
      <c r="A1398">
        <v>27</v>
      </c>
      <c r="B1398">
        <v>10</v>
      </c>
      <c r="C1398" t="s">
        <v>1035</v>
      </c>
      <c r="D1398" s="5">
        <v>0</v>
      </c>
      <c r="E1398" t="s">
        <v>1036</v>
      </c>
    </row>
    <row r="1399" spans="1:5" hidden="1" x14ac:dyDescent="0.25">
      <c r="A1399">
        <v>27</v>
      </c>
      <c r="B1399">
        <v>10</v>
      </c>
      <c r="C1399" t="s">
        <v>39</v>
      </c>
      <c r="D1399" s="4">
        <v>0</v>
      </c>
      <c r="E1399" t="s">
        <v>39</v>
      </c>
    </row>
    <row r="1400" spans="1:5" x14ac:dyDescent="0.25">
      <c r="A1400">
        <v>27</v>
      </c>
      <c r="B1400">
        <v>10</v>
      </c>
      <c r="C1400" t="s">
        <v>1037</v>
      </c>
      <c r="D1400" s="5">
        <v>0</v>
      </c>
      <c r="E1400" t="s">
        <v>1038</v>
      </c>
    </row>
    <row r="1401" spans="1:5" hidden="1" x14ac:dyDescent="0.25">
      <c r="A1401">
        <v>27</v>
      </c>
      <c r="B1401">
        <v>10</v>
      </c>
      <c r="C1401" t="s">
        <v>39</v>
      </c>
      <c r="D1401" s="4">
        <v>0</v>
      </c>
      <c r="E1401" t="s">
        <v>39</v>
      </c>
    </row>
    <row r="1402" spans="1:5" hidden="1" x14ac:dyDescent="0.25">
      <c r="A1402">
        <v>27</v>
      </c>
      <c r="B1402">
        <v>13</v>
      </c>
      <c r="C1402" t="s">
        <v>39</v>
      </c>
      <c r="D1402" s="4">
        <v>0</v>
      </c>
      <c r="E1402" t="s">
        <v>39</v>
      </c>
    </row>
    <row r="1403" spans="1:5" x14ac:dyDescent="0.25">
      <c r="A1403">
        <v>27</v>
      </c>
      <c r="B1403">
        <v>13</v>
      </c>
      <c r="C1403" t="s">
        <v>1039</v>
      </c>
      <c r="D1403" s="5">
        <v>0</v>
      </c>
      <c r="E1403" t="s">
        <v>1040</v>
      </c>
    </row>
    <row r="1404" spans="1:5" hidden="1" x14ac:dyDescent="0.25">
      <c r="A1404">
        <v>27</v>
      </c>
      <c r="B1404">
        <v>13</v>
      </c>
      <c r="C1404" t="s">
        <v>39</v>
      </c>
      <c r="D1404" s="4">
        <v>0</v>
      </c>
      <c r="E1404" t="s">
        <v>39</v>
      </c>
    </row>
    <row r="1405" spans="1:5" x14ac:dyDescent="0.25">
      <c r="A1405">
        <v>27</v>
      </c>
      <c r="B1405">
        <v>13</v>
      </c>
      <c r="C1405" t="s">
        <v>1041</v>
      </c>
      <c r="D1405" s="5">
        <v>0</v>
      </c>
      <c r="E1405" t="s">
        <v>1042</v>
      </c>
    </row>
    <row r="1406" spans="1:5" hidden="1" x14ac:dyDescent="0.25">
      <c r="A1406">
        <v>27</v>
      </c>
      <c r="B1406">
        <v>13</v>
      </c>
      <c r="C1406" t="s">
        <v>39</v>
      </c>
      <c r="D1406" s="4">
        <v>0</v>
      </c>
      <c r="E1406" t="s">
        <v>39</v>
      </c>
    </row>
    <row r="1407" spans="1:5" x14ac:dyDescent="0.25">
      <c r="A1407">
        <v>27</v>
      </c>
      <c r="B1407">
        <v>13</v>
      </c>
      <c r="C1407" t="s">
        <v>1043</v>
      </c>
      <c r="D1407" s="5">
        <v>0</v>
      </c>
      <c r="E1407" t="s">
        <v>1044</v>
      </c>
    </row>
    <row r="1408" spans="1:5" hidden="1" x14ac:dyDescent="0.25">
      <c r="A1408">
        <v>27</v>
      </c>
      <c r="B1408">
        <v>13</v>
      </c>
      <c r="C1408" t="s">
        <v>39</v>
      </c>
      <c r="D1408" s="4">
        <v>0</v>
      </c>
      <c r="E1408" t="s">
        <v>39</v>
      </c>
    </row>
    <row r="1409" spans="1:5" hidden="1" x14ac:dyDescent="0.25">
      <c r="A1409">
        <v>27</v>
      </c>
      <c r="B1409">
        <v>16</v>
      </c>
      <c r="C1409" t="s">
        <v>39</v>
      </c>
      <c r="D1409" s="4">
        <v>0</v>
      </c>
      <c r="E1409" t="s">
        <v>39</v>
      </c>
    </row>
    <row r="1410" spans="1:5" x14ac:dyDescent="0.25">
      <c r="A1410">
        <v>27</v>
      </c>
      <c r="B1410">
        <v>16</v>
      </c>
      <c r="C1410" t="s">
        <v>1045</v>
      </c>
      <c r="D1410" s="5">
        <v>0</v>
      </c>
      <c r="E1410" t="s">
        <v>1046</v>
      </c>
    </row>
    <row r="1411" spans="1:5" hidden="1" x14ac:dyDescent="0.25">
      <c r="A1411">
        <v>27</v>
      </c>
      <c r="B1411">
        <v>16</v>
      </c>
      <c r="C1411" t="s">
        <v>39</v>
      </c>
      <c r="D1411" s="4">
        <v>0</v>
      </c>
      <c r="E1411" t="s">
        <v>39</v>
      </c>
    </row>
    <row r="1412" spans="1:5" x14ac:dyDescent="0.25">
      <c r="A1412">
        <v>27</v>
      </c>
      <c r="B1412">
        <v>16</v>
      </c>
      <c r="C1412" t="s">
        <v>1047</v>
      </c>
      <c r="D1412" s="5">
        <v>0</v>
      </c>
      <c r="E1412" t="s">
        <v>1048</v>
      </c>
    </row>
    <row r="1413" spans="1:5" hidden="1" x14ac:dyDescent="0.25">
      <c r="A1413">
        <v>27</v>
      </c>
      <c r="B1413">
        <v>16</v>
      </c>
      <c r="C1413" t="s">
        <v>39</v>
      </c>
      <c r="D1413" s="4">
        <v>0</v>
      </c>
      <c r="E1413" t="s">
        <v>39</v>
      </c>
    </row>
    <row r="1414" spans="1:5" x14ac:dyDescent="0.25">
      <c r="A1414">
        <v>27</v>
      </c>
      <c r="B1414">
        <v>16</v>
      </c>
      <c r="C1414" t="s">
        <v>1049</v>
      </c>
      <c r="D1414" s="5">
        <v>0</v>
      </c>
      <c r="E1414" t="s">
        <v>1050</v>
      </c>
    </row>
    <row r="1415" spans="1:5" hidden="1" x14ac:dyDescent="0.25">
      <c r="A1415">
        <v>27</v>
      </c>
      <c r="B1415">
        <v>16</v>
      </c>
      <c r="C1415" t="s">
        <v>39</v>
      </c>
      <c r="D1415" s="4">
        <v>0</v>
      </c>
      <c r="E1415" t="s">
        <v>39</v>
      </c>
    </row>
    <row r="1416" spans="1:5" x14ac:dyDescent="0.25">
      <c r="A1416">
        <v>27</v>
      </c>
      <c r="B1416">
        <v>16</v>
      </c>
      <c r="C1416" t="s">
        <v>1051</v>
      </c>
      <c r="D1416" s="5">
        <v>0</v>
      </c>
      <c r="E1416" t="s">
        <v>1052</v>
      </c>
    </row>
    <row r="1417" spans="1:5" hidden="1" x14ac:dyDescent="0.25">
      <c r="A1417">
        <v>27</v>
      </c>
      <c r="B1417">
        <v>16</v>
      </c>
      <c r="C1417" t="s">
        <v>39</v>
      </c>
      <c r="D1417" s="4">
        <v>0</v>
      </c>
      <c r="E1417" t="s">
        <v>39</v>
      </c>
    </row>
    <row r="1418" spans="1:5" hidden="1" x14ac:dyDescent="0.25">
      <c r="A1418">
        <v>27</v>
      </c>
      <c r="B1418">
        <v>20</v>
      </c>
      <c r="C1418" t="s">
        <v>39</v>
      </c>
      <c r="D1418" s="4">
        <v>0</v>
      </c>
      <c r="E1418" t="s">
        <v>39</v>
      </c>
    </row>
    <row r="1419" spans="1:5" x14ac:dyDescent="0.25">
      <c r="A1419">
        <v>27</v>
      </c>
      <c r="B1419">
        <v>20</v>
      </c>
      <c r="C1419" t="s">
        <v>1053</v>
      </c>
      <c r="D1419" s="5">
        <v>0</v>
      </c>
      <c r="E1419" t="s">
        <v>1054</v>
      </c>
    </row>
    <row r="1420" spans="1:5" hidden="1" x14ac:dyDescent="0.25">
      <c r="A1420">
        <v>27</v>
      </c>
      <c r="B1420">
        <v>20</v>
      </c>
      <c r="C1420" t="s">
        <v>39</v>
      </c>
      <c r="D1420" s="4">
        <v>0</v>
      </c>
      <c r="E1420" t="s">
        <v>39</v>
      </c>
    </row>
    <row r="1421" spans="1:5" x14ac:dyDescent="0.25">
      <c r="A1421">
        <v>27</v>
      </c>
      <c r="B1421">
        <v>20</v>
      </c>
      <c r="C1421" t="s">
        <v>1055</v>
      </c>
      <c r="D1421" s="5">
        <v>0</v>
      </c>
      <c r="E1421" t="s">
        <v>1056</v>
      </c>
    </row>
    <row r="1422" spans="1:5" hidden="1" x14ac:dyDescent="0.25">
      <c r="A1422">
        <v>27</v>
      </c>
      <c r="B1422">
        <v>20</v>
      </c>
      <c r="C1422" t="s">
        <v>39</v>
      </c>
      <c r="D1422" s="4">
        <v>0</v>
      </c>
      <c r="E1422" t="s">
        <v>39</v>
      </c>
    </row>
    <row r="1423" spans="1:5" x14ac:dyDescent="0.25">
      <c r="A1423">
        <v>27</v>
      </c>
      <c r="B1423">
        <v>20</v>
      </c>
      <c r="C1423" t="s">
        <v>2517</v>
      </c>
      <c r="D1423" s="5">
        <v>0</v>
      </c>
      <c r="E1423" t="s">
        <v>1057</v>
      </c>
    </row>
    <row r="1424" spans="1:5" hidden="1" x14ac:dyDescent="0.25">
      <c r="A1424">
        <v>27</v>
      </c>
      <c r="B1424">
        <v>20</v>
      </c>
      <c r="C1424" t="s">
        <v>39</v>
      </c>
      <c r="D1424" s="4">
        <v>0</v>
      </c>
      <c r="E1424" t="s">
        <v>39</v>
      </c>
    </row>
    <row r="1425" spans="1:5" x14ac:dyDescent="0.25">
      <c r="A1425">
        <v>27</v>
      </c>
      <c r="B1425">
        <v>20</v>
      </c>
      <c r="C1425" t="s">
        <v>1058</v>
      </c>
      <c r="D1425" s="5">
        <v>0</v>
      </c>
      <c r="E1425" t="s">
        <v>1059</v>
      </c>
    </row>
    <row r="1426" spans="1:5" x14ac:dyDescent="0.25">
      <c r="A1426">
        <v>28</v>
      </c>
      <c r="B1426">
        <v>1</v>
      </c>
      <c r="C1426" t="s">
        <v>1060</v>
      </c>
      <c r="D1426" s="5">
        <v>0</v>
      </c>
      <c r="E1426" t="s">
        <v>1061</v>
      </c>
    </row>
    <row r="1427" spans="1:5" hidden="1" x14ac:dyDescent="0.25">
      <c r="A1427">
        <v>28</v>
      </c>
      <c r="B1427">
        <v>1</v>
      </c>
      <c r="C1427" t="s">
        <v>39</v>
      </c>
      <c r="D1427" s="4">
        <v>0</v>
      </c>
      <c r="E1427" t="s">
        <v>39</v>
      </c>
    </row>
    <row r="1428" spans="1:5" x14ac:dyDescent="0.25">
      <c r="A1428">
        <v>28</v>
      </c>
      <c r="B1428">
        <v>1</v>
      </c>
      <c r="C1428" t="s">
        <v>1062</v>
      </c>
      <c r="D1428" s="5">
        <v>0</v>
      </c>
      <c r="E1428" t="s">
        <v>1063</v>
      </c>
    </row>
    <row r="1429" spans="1:5" hidden="1" x14ac:dyDescent="0.25">
      <c r="A1429">
        <v>28</v>
      </c>
      <c r="B1429">
        <v>1</v>
      </c>
      <c r="C1429" t="s">
        <v>39</v>
      </c>
      <c r="D1429" s="4">
        <v>0</v>
      </c>
      <c r="E1429" t="s">
        <v>39</v>
      </c>
    </row>
    <row r="1430" spans="1:5" x14ac:dyDescent="0.25">
      <c r="A1430">
        <v>28</v>
      </c>
      <c r="B1430">
        <v>1</v>
      </c>
      <c r="C1430" t="s">
        <v>1064</v>
      </c>
      <c r="D1430" s="5">
        <v>0</v>
      </c>
      <c r="E1430" t="s">
        <v>1065</v>
      </c>
    </row>
    <row r="1431" spans="1:5" hidden="1" x14ac:dyDescent="0.25">
      <c r="A1431">
        <v>28</v>
      </c>
      <c r="B1431">
        <v>1</v>
      </c>
      <c r="C1431" t="s">
        <v>39</v>
      </c>
      <c r="D1431" s="4">
        <v>0</v>
      </c>
      <c r="E1431" t="s">
        <v>39</v>
      </c>
    </row>
    <row r="1432" spans="1:5" x14ac:dyDescent="0.25">
      <c r="A1432">
        <v>28</v>
      </c>
      <c r="B1432">
        <v>1</v>
      </c>
      <c r="C1432" t="s">
        <v>1066</v>
      </c>
      <c r="D1432" s="5">
        <v>0</v>
      </c>
      <c r="E1432" t="s">
        <v>1067</v>
      </c>
    </row>
    <row r="1433" spans="1:5" hidden="1" x14ac:dyDescent="0.25">
      <c r="A1433">
        <v>28</v>
      </c>
      <c r="B1433">
        <v>1</v>
      </c>
      <c r="C1433" t="s">
        <v>39</v>
      </c>
      <c r="D1433" s="4">
        <v>0</v>
      </c>
      <c r="E1433" t="s">
        <v>39</v>
      </c>
    </row>
    <row r="1434" spans="1:5" hidden="1" x14ac:dyDescent="0.25">
      <c r="A1434">
        <v>28</v>
      </c>
      <c r="B1434">
        <v>4</v>
      </c>
      <c r="C1434" t="s">
        <v>39</v>
      </c>
      <c r="D1434" s="4">
        <v>0</v>
      </c>
      <c r="E1434" t="s">
        <v>39</v>
      </c>
    </row>
    <row r="1435" spans="1:5" x14ac:dyDescent="0.25">
      <c r="A1435">
        <v>28</v>
      </c>
      <c r="B1435">
        <v>4</v>
      </c>
      <c r="C1435" t="s">
        <v>2518</v>
      </c>
      <c r="D1435" s="5">
        <v>0</v>
      </c>
      <c r="E1435" t="s">
        <v>2519</v>
      </c>
    </row>
    <row r="1436" spans="1:5" hidden="1" x14ac:dyDescent="0.25">
      <c r="A1436">
        <v>28</v>
      </c>
      <c r="B1436">
        <v>4</v>
      </c>
      <c r="C1436" t="s">
        <v>39</v>
      </c>
      <c r="D1436" s="4">
        <v>0</v>
      </c>
      <c r="E1436" t="s">
        <v>39</v>
      </c>
    </row>
    <row r="1437" spans="1:5" x14ac:dyDescent="0.25">
      <c r="A1437">
        <v>28</v>
      </c>
      <c r="B1437">
        <v>4</v>
      </c>
      <c r="C1437" t="s">
        <v>1068</v>
      </c>
      <c r="D1437" s="5">
        <v>0</v>
      </c>
      <c r="E1437" t="s">
        <v>2520</v>
      </c>
    </row>
    <row r="1438" spans="1:5" hidden="1" x14ac:dyDescent="0.25">
      <c r="A1438">
        <v>28</v>
      </c>
      <c r="B1438">
        <v>4</v>
      </c>
      <c r="C1438" t="s">
        <v>39</v>
      </c>
      <c r="D1438" s="4">
        <v>0</v>
      </c>
      <c r="E1438" t="s">
        <v>39</v>
      </c>
    </row>
    <row r="1439" spans="1:5" x14ac:dyDescent="0.25">
      <c r="A1439">
        <v>28</v>
      </c>
      <c r="B1439">
        <v>4</v>
      </c>
      <c r="C1439" t="s">
        <v>2521</v>
      </c>
      <c r="D1439" s="5">
        <v>0</v>
      </c>
      <c r="E1439" t="s">
        <v>2522</v>
      </c>
    </row>
    <row r="1440" spans="1:5" hidden="1" x14ac:dyDescent="0.25">
      <c r="A1440">
        <v>28</v>
      </c>
      <c r="B1440">
        <v>4</v>
      </c>
      <c r="C1440" t="s">
        <v>39</v>
      </c>
      <c r="D1440" s="4">
        <v>0</v>
      </c>
      <c r="E1440" t="s">
        <v>39</v>
      </c>
    </row>
    <row r="1441" spans="1:5" x14ac:dyDescent="0.25">
      <c r="A1441">
        <v>28</v>
      </c>
      <c r="B1441">
        <v>4</v>
      </c>
      <c r="C1441" t="s">
        <v>595</v>
      </c>
      <c r="D1441" s="5">
        <v>0</v>
      </c>
      <c r="E1441" t="s">
        <v>1069</v>
      </c>
    </row>
    <row r="1442" spans="1:5" hidden="1" x14ac:dyDescent="0.25">
      <c r="A1442">
        <v>28</v>
      </c>
      <c r="B1442">
        <v>4</v>
      </c>
      <c r="C1442" t="s">
        <v>39</v>
      </c>
      <c r="D1442" s="4">
        <v>0</v>
      </c>
      <c r="E1442" t="s">
        <v>39</v>
      </c>
    </row>
    <row r="1443" spans="1:5" hidden="1" x14ac:dyDescent="0.25">
      <c r="A1443">
        <v>28</v>
      </c>
      <c r="B1443">
        <v>7</v>
      </c>
      <c r="C1443" t="s">
        <v>39</v>
      </c>
      <c r="D1443" s="4">
        <v>0</v>
      </c>
      <c r="E1443" t="s">
        <v>39</v>
      </c>
    </row>
    <row r="1444" spans="1:5" x14ac:dyDescent="0.25">
      <c r="A1444">
        <v>28</v>
      </c>
      <c r="B1444">
        <v>7</v>
      </c>
      <c r="C1444" t="s">
        <v>1070</v>
      </c>
      <c r="D1444" s="5">
        <v>0</v>
      </c>
      <c r="E1444" t="s">
        <v>2523</v>
      </c>
    </row>
    <row r="1445" spans="1:5" hidden="1" x14ac:dyDescent="0.25">
      <c r="A1445">
        <v>28</v>
      </c>
      <c r="B1445">
        <v>7</v>
      </c>
      <c r="C1445" t="s">
        <v>39</v>
      </c>
      <c r="D1445" s="4">
        <v>0</v>
      </c>
      <c r="E1445" t="s">
        <v>39</v>
      </c>
    </row>
    <row r="1446" spans="1:5" x14ac:dyDescent="0.25">
      <c r="A1446">
        <v>28</v>
      </c>
      <c r="B1446">
        <v>7</v>
      </c>
      <c r="C1446" t="s">
        <v>1071</v>
      </c>
      <c r="D1446" s="5">
        <v>0</v>
      </c>
      <c r="E1446" t="s">
        <v>1072</v>
      </c>
    </row>
    <row r="1447" spans="1:5" hidden="1" x14ac:dyDescent="0.25">
      <c r="A1447">
        <v>28</v>
      </c>
      <c r="B1447">
        <v>7</v>
      </c>
      <c r="C1447" t="s">
        <v>39</v>
      </c>
      <c r="D1447" s="4">
        <v>0</v>
      </c>
      <c r="E1447" t="s">
        <v>39</v>
      </c>
    </row>
    <row r="1448" spans="1:5" x14ac:dyDescent="0.25">
      <c r="A1448">
        <v>28</v>
      </c>
      <c r="B1448">
        <v>7</v>
      </c>
      <c r="C1448" t="s">
        <v>1073</v>
      </c>
      <c r="D1448" s="5">
        <v>0</v>
      </c>
      <c r="E1448" t="s">
        <v>1074</v>
      </c>
    </row>
    <row r="1449" spans="1:5" hidden="1" x14ac:dyDescent="0.25">
      <c r="A1449">
        <v>28</v>
      </c>
      <c r="B1449">
        <v>7</v>
      </c>
      <c r="C1449" t="s">
        <v>39</v>
      </c>
      <c r="D1449" s="4">
        <v>0</v>
      </c>
      <c r="E1449" t="s">
        <v>39</v>
      </c>
    </row>
    <row r="1450" spans="1:5" x14ac:dyDescent="0.25">
      <c r="A1450">
        <v>28</v>
      </c>
      <c r="B1450">
        <v>7</v>
      </c>
      <c r="C1450" t="s">
        <v>1075</v>
      </c>
      <c r="D1450" s="5">
        <v>30</v>
      </c>
      <c r="E1450" t="s">
        <v>1076</v>
      </c>
    </row>
    <row r="1451" spans="1:5" hidden="1" x14ac:dyDescent="0.25">
      <c r="A1451">
        <v>28</v>
      </c>
      <c r="B1451">
        <v>7</v>
      </c>
      <c r="C1451" t="s">
        <v>39</v>
      </c>
      <c r="D1451" s="4">
        <v>0</v>
      </c>
      <c r="E1451" t="s">
        <v>39</v>
      </c>
    </row>
    <row r="1452" spans="1:5" hidden="1" x14ac:dyDescent="0.25">
      <c r="A1452">
        <v>28</v>
      </c>
      <c r="B1452">
        <v>7</v>
      </c>
      <c r="C1452" t="s">
        <v>39</v>
      </c>
      <c r="D1452" s="4">
        <v>0</v>
      </c>
      <c r="E1452" t="s">
        <v>39</v>
      </c>
    </row>
    <row r="1453" spans="1:5" hidden="1" x14ac:dyDescent="0.25">
      <c r="A1453">
        <v>28</v>
      </c>
      <c r="B1453">
        <v>10</v>
      </c>
      <c r="C1453" t="s">
        <v>39</v>
      </c>
      <c r="D1453" s="4">
        <v>0</v>
      </c>
      <c r="E1453" t="s">
        <v>39</v>
      </c>
    </row>
    <row r="1454" spans="1:5" x14ac:dyDescent="0.25">
      <c r="A1454">
        <v>28</v>
      </c>
      <c r="B1454">
        <v>10</v>
      </c>
      <c r="C1454" t="s">
        <v>1077</v>
      </c>
      <c r="D1454" s="5">
        <v>0</v>
      </c>
      <c r="E1454" t="s">
        <v>1078</v>
      </c>
    </row>
    <row r="1455" spans="1:5" hidden="1" x14ac:dyDescent="0.25">
      <c r="A1455">
        <v>28</v>
      </c>
      <c r="B1455">
        <v>10</v>
      </c>
      <c r="C1455" t="s">
        <v>39</v>
      </c>
      <c r="D1455" s="4">
        <v>0</v>
      </c>
      <c r="E1455" t="s">
        <v>39</v>
      </c>
    </row>
    <row r="1456" spans="1:5" x14ac:dyDescent="0.25">
      <c r="A1456">
        <v>28</v>
      </c>
      <c r="B1456">
        <v>10</v>
      </c>
      <c r="C1456" t="s">
        <v>1079</v>
      </c>
      <c r="D1456" s="5">
        <v>0</v>
      </c>
      <c r="E1456" t="s">
        <v>1080</v>
      </c>
    </row>
    <row r="1457" spans="1:5" hidden="1" x14ac:dyDescent="0.25">
      <c r="A1457">
        <v>28</v>
      </c>
      <c r="B1457">
        <v>10</v>
      </c>
      <c r="C1457" t="s">
        <v>39</v>
      </c>
      <c r="D1457" s="4">
        <v>0</v>
      </c>
      <c r="E1457" t="s">
        <v>39</v>
      </c>
    </row>
    <row r="1458" spans="1:5" hidden="1" x14ac:dyDescent="0.25">
      <c r="A1458">
        <v>28</v>
      </c>
      <c r="B1458">
        <v>13</v>
      </c>
      <c r="C1458" t="s">
        <v>39</v>
      </c>
      <c r="D1458" s="4">
        <v>0</v>
      </c>
      <c r="E1458" t="s">
        <v>39</v>
      </c>
    </row>
    <row r="1459" spans="1:5" x14ac:dyDescent="0.25">
      <c r="A1459">
        <v>28</v>
      </c>
      <c r="B1459">
        <v>13</v>
      </c>
      <c r="C1459" t="s">
        <v>2524</v>
      </c>
      <c r="D1459" s="5">
        <v>0</v>
      </c>
      <c r="E1459" t="s">
        <v>1081</v>
      </c>
    </row>
    <row r="1460" spans="1:5" hidden="1" x14ac:dyDescent="0.25">
      <c r="A1460">
        <v>28</v>
      </c>
      <c r="B1460">
        <v>13</v>
      </c>
      <c r="C1460" t="s">
        <v>39</v>
      </c>
      <c r="D1460" s="4">
        <v>0</v>
      </c>
      <c r="E1460" t="s">
        <v>39</v>
      </c>
    </row>
    <row r="1461" spans="1:5" x14ac:dyDescent="0.25">
      <c r="A1461">
        <v>28</v>
      </c>
      <c r="B1461">
        <v>13</v>
      </c>
      <c r="C1461" t="s">
        <v>1082</v>
      </c>
      <c r="D1461" s="5">
        <v>0</v>
      </c>
      <c r="E1461" t="s">
        <v>1083</v>
      </c>
    </row>
    <row r="1462" spans="1:5" hidden="1" x14ac:dyDescent="0.25">
      <c r="A1462">
        <v>28</v>
      </c>
      <c r="B1462">
        <v>13</v>
      </c>
      <c r="C1462" t="s">
        <v>39</v>
      </c>
      <c r="D1462" s="4">
        <v>0</v>
      </c>
      <c r="E1462" t="s">
        <v>39</v>
      </c>
    </row>
    <row r="1463" spans="1:5" x14ac:dyDescent="0.25">
      <c r="A1463">
        <v>28</v>
      </c>
      <c r="B1463">
        <v>13</v>
      </c>
      <c r="C1463" t="s">
        <v>1084</v>
      </c>
      <c r="D1463" s="5">
        <v>0</v>
      </c>
      <c r="E1463" t="s">
        <v>2525</v>
      </c>
    </row>
    <row r="1464" spans="1:5" hidden="1" x14ac:dyDescent="0.25">
      <c r="A1464">
        <v>28</v>
      </c>
      <c r="B1464">
        <v>13</v>
      </c>
      <c r="C1464" t="s">
        <v>39</v>
      </c>
      <c r="D1464" s="4">
        <v>0</v>
      </c>
      <c r="E1464" t="s">
        <v>39</v>
      </c>
    </row>
    <row r="1465" spans="1:5" hidden="1" x14ac:dyDescent="0.25">
      <c r="A1465">
        <v>28</v>
      </c>
      <c r="B1465">
        <v>16</v>
      </c>
      <c r="C1465" t="s">
        <v>39</v>
      </c>
      <c r="D1465" s="4">
        <v>0</v>
      </c>
      <c r="E1465" t="s">
        <v>39</v>
      </c>
    </row>
    <row r="1466" spans="1:5" x14ac:dyDescent="0.25">
      <c r="A1466">
        <v>28</v>
      </c>
      <c r="B1466">
        <v>16</v>
      </c>
      <c r="C1466" t="s">
        <v>1085</v>
      </c>
      <c r="D1466" s="5">
        <v>0</v>
      </c>
      <c r="E1466" t="s">
        <v>1086</v>
      </c>
    </row>
    <row r="1467" spans="1:5" hidden="1" x14ac:dyDescent="0.25">
      <c r="A1467">
        <v>28</v>
      </c>
      <c r="B1467">
        <v>16</v>
      </c>
      <c r="C1467" t="s">
        <v>39</v>
      </c>
      <c r="D1467" s="4">
        <v>0</v>
      </c>
      <c r="E1467" t="s">
        <v>39</v>
      </c>
    </row>
    <row r="1468" spans="1:5" x14ac:dyDescent="0.25">
      <c r="A1468">
        <v>28</v>
      </c>
      <c r="B1468">
        <v>16</v>
      </c>
      <c r="C1468" t="s">
        <v>1087</v>
      </c>
      <c r="D1468" s="5">
        <v>0</v>
      </c>
      <c r="E1468" t="s">
        <v>2526</v>
      </c>
    </row>
    <row r="1469" spans="1:5" hidden="1" x14ac:dyDescent="0.25">
      <c r="A1469">
        <v>28</v>
      </c>
      <c r="B1469">
        <v>16</v>
      </c>
      <c r="C1469" t="s">
        <v>39</v>
      </c>
      <c r="D1469" s="4">
        <v>0</v>
      </c>
      <c r="E1469" t="s">
        <v>39</v>
      </c>
    </row>
    <row r="1470" spans="1:5" x14ac:dyDescent="0.25">
      <c r="A1470">
        <v>28</v>
      </c>
      <c r="B1470">
        <v>16</v>
      </c>
      <c r="C1470" t="s">
        <v>1088</v>
      </c>
      <c r="D1470" s="5">
        <v>0</v>
      </c>
      <c r="E1470" t="s">
        <v>1089</v>
      </c>
    </row>
    <row r="1471" spans="1:5" hidden="1" x14ac:dyDescent="0.25">
      <c r="A1471">
        <v>28</v>
      </c>
      <c r="B1471">
        <v>16</v>
      </c>
      <c r="C1471" t="s">
        <v>39</v>
      </c>
      <c r="D1471" s="4">
        <v>0</v>
      </c>
      <c r="E1471" t="s">
        <v>39</v>
      </c>
    </row>
    <row r="1472" spans="1:5" x14ac:dyDescent="0.25">
      <c r="A1472">
        <v>28</v>
      </c>
      <c r="B1472">
        <v>16</v>
      </c>
      <c r="C1472" t="s">
        <v>650</v>
      </c>
      <c r="D1472" s="5">
        <v>0</v>
      </c>
      <c r="E1472" t="s">
        <v>1090</v>
      </c>
    </row>
    <row r="1473" spans="1:5" hidden="1" x14ac:dyDescent="0.25">
      <c r="A1473">
        <v>28</v>
      </c>
      <c r="B1473">
        <v>16</v>
      </c>
      <c r="C1473" t="s">
        <v>39</v>
      </c>
      <c r="D1473" s="4">
        <v>0</v>
      </c>
      <c r="E1473" t="s">
        <v>39</v>
      </c>
    </row>
    <row r="1474" spans="1:5" hidden="1" x14ac:dyDescent="0.25">
      <c r="A1474">
        <v>28</v>
      </c>
      <c r="B1474">
        <v>20</v>
      </c>
      <c r="C1474" t="s">
        <v>39</v>
      </c>
      <c r="D1474" s="4">
        <v>0</v>
      </c>
      <c r="E1474" t="s">
        <v>39</v>
      </c>
    </row>
    <row r="1475" spans="1:5" x14ac:dyDescent="0.25">
      <c r="A1475">
        <v>28</v>
      </c>
      <c r="B1475">
        <v>20</v>
      </c>
      <c r="C1475" t="s">
        <v>2527</v>
      </c>
      <c r="D1475" s="5">
        <v>0</v>
      </c>
      <c r="E1475" t="s">
        <v>1091</v>
      </c>
    </row>
    <row r="1476" spans="1:5" hidden="1" x14ac:dyDescent="0.25">
      <c r="A1476">
        <v>28</v>
      </c>
      <c r="B1476">
        <v>20</v>
      </c>
      <c r="C1476" t="s">
        <v>39</v>
      </c>
      <c r="D1476" s="4">
        <v>0</v>
      </c>
      <c r="E1476" t="s">
        <v>39</v>
      </c>
    </row>
    <row r="1477" spans="1:5" x14ac:dyDescent="0.25">
      <c r="A1477">
        <v>28</v>
      </c>
      <c r="B1477">
        <v>20</v>
      </c>
      <c r="C1477" t="s">
        <v>1092</v>
      </c>
      <c r="D1477" s="5">
        <v>0</v>
      </c>
      <c r="E1477" t="s">
        <v>1093</v>
      </c>
    </row>
    <row r="1478" spans="1:5" hidden="1" x14ac:dyDescent="0.25">
      <c r="A1478">
        <v>28</v>
      </c>
      <c r="B1478">
        <v>20</v>
      </c>
      <c r="C1478" t="s">
        <v>39</v>
      </c>
      <c r="D1478" s="4">
        <v>0</v>
      </c>
      <c r="E1478" t="s">
        <v>39</v>
      </c>
    </row>
    <row r="1479" spans="1:5" x14ac:dyDescent="0.25">
      <c r="A1479">
        <v>28</v>
      </c>
      <c r="B1479">
        <v>20</v>
      </c>
      <c r="C1479" t="s">
        <v>1094</v>
      </c>
      <c r="D1479" s="5">
        <v>0</v>
      </c>
      <c r="E1479" t="s">
        <v>2528</v>
      </c>
    </row>
    <row r="1480" spans="1:5" hidden="1" x14ac:dyDescent="0.25">
      <c r="A1480">
        <v>28</v>
      </c>
      <c r="B1480">
        <v>20</v>
      </c>
      <c r="C1480" t="s">
        <v>39</v>
      </c>
      <c r="D1480" s="4">
        <v>0</v>
      </c>
      <c r="E1480" t="s">
        <v>39</v>
      </c>
    </row>
    <row r="1481" spans="1:5" x14ac:dyDescent="0.25">
      <c r="A1481">
        <v>28</v>
      </c>
      <c r="B1481">
        <v>20</v>
      </c>
      <c r="C1481" t="s">
        <v>1095</v>
      </c>
      <c r="D1481" s="5">
        <v>0</v>
      </c>
      <c r="E1481" t="s">
        <v>1096</v>
      </c>
    </row>
    <row r="1482" spans="1:5" x14ac:dyDescent="0.25">
      <c r="A1482">
        <v>29</v>
      </c>
      <c r="B1482">
        <v>1</v>
      </c>
      <c r="C1482" t="s">
        <v>1097</v>
      </c>
      <c r="D1482" s="5">
        <v>0</v>
      </c>
      <c r="E1482" t="s">
        <v>2529</v>
      </c>
    </row>
    <row r="1483" spans="1:5" hidden="1" x14ac:dyDescent="0.25">
      <c r="A1483">
        <v>29</v>
      </c>
      <c r="B1483">
        <v>1</v>
      </c>
      <c r="C1483" t="s">
        <v>39</v>
      </c>
      <c r="D1483" s="4">
        <v>0</v>
      </c>
      <c r="E1483" t="s">
        <v>39</v>
      </c>
    </row>
    <row r="1484" spans="1:5" x14ac:dyDescent="0.25">
      <c r="A1484">
        <v>29</v>
      </c>
      <c r="B1484">
        <v>1</v>
      </c>
      <c r="C1484" t="s">
        <v>1098</v>
      </c>
      <c r="D1484" s="5">
        <v>0</v>
      </c>
      <c r="E1484" t="s">
        <v>1099</v>
      </c>
    </row>
    <row r="1485" spans="1:5" hidden="1" x14ac:dyDescent="0.25">
      <c r="A1485">
        <v>29</v>
      </c>
      <c r="B1485">
        <v>1</v>
      </c>
      <c r="C1485" t="s">
        <v>39</v>
      </c>
      <c r="D1485" s="4">
        <v>0</v>
      </c>
      <c r="E1485" t="s">
        <v>39</v>
      </c>
    </row>
    <row r="1486" spans="1:5" x14ac:dyDescent="0.25">
      <c r="A1486">
        <v>29</v>
      </c>
      <c r="B1486">
        <v>1</v>
      </c>
      <c r="C1486" t="s">
        <v>1100</v>
      </c>
      <c r="D1486" s="5">
        <v>0</v>
      </c>
      <c r="E1486" t="s">
        <v>1101</v>
      </c>
    </row>
    <row r="1487" spans="1:5" hidden="1" x14ac:dyDescent="0.25">
      <c r="A1487">
        <v>29</v>
      </c>
      <c r="B1487">
        <v>1</v>
      </c>
      <c r="C1487" t="s">
        <v>39</v>
      </c>
      <c r="D1487" s="4">
        <v>0</v>
      </c>
      <c r="E1487" t="s">
        <v>39</v>
      </c>
    </row>
    <row r="1488" spans="1:5" x14ac:dyDescent="0.25">
      <c r="A1488">
        <v>29</v>
      </c>
      <c r="B1488">
        <v>1</v>
      </c>
      <c r="C1488" t="s">
        <v>1102</v>
      </c>
      <c r="D1488" s="5">
        <v>0</v>
      </c>
      <c r="E1488" t="s">
        <v>1103</v>
      </c>
    </row>
    <row r="1489" spans="1:5" hidden="1" x14ac:dyDescent="0.25">
      <c r="A1489">
        <v>29</v>
      </c>
      <c r="B1489">
        <v>1</v>
      </c>
      <c r="C1489" t="s">
        <v>39</v>
      </c>
      <c r="D1489" s="4">
        <v>0</v>
      </c>
      <c r="E1489" t="s">
        <v>39</v>
      </c>
    </row>
    <row r="1490" spans="1:5" hidden="1" x14ac:dyDescent="0.25">
      <c r="A1490">
        <v>29</v>
      </c>
      <c r="B1490">
        <v>4</v>
      </c>
      <c r="C1490" t="s">
        <v>39</v>
      </c>
      <c r="D1490" s="4">
        <v>0</v>
      </c>
      <c r="E1490" t="s">
        <v>39</v>
      </c>
    </row>
    <row r="1491" spans="1:5" x14ac:dyDescent="0.25">
      <c r="A1491">
        <v>29</v>
      </c>
      <c r="B1491">
        <v>4</v>
      </c>
      <c r="C1491" t="s">
        <v>1104</v>
      </c>
      <c r="D1491" s="5">
        <v>0</v>
      </c>
      <c r="E1491" t="s">
        <v>1105</v>
      </c>
    </row>
    <row r="1492" spans="1:5" hidden="1" x14ac:dyDescent="0.25">
      <c r="A1492">
        <v>29</v>
      </c>
      <c r="B1492">
        <v>4</v>
      </c>
      <c r="C1492" t="s">
        <v>39</v>
      </c>
      <c r="D1492" s="4">
        <v>0</v>
      </c>
      <c r="E1492" t="s">
        <v>39</v>
      </c>
    </row>
    <row r="1493" spans="1:5" x14ac:dyDescent="0.25">
      <c r="A1493">
        <v>29</v>
      </c>
      <c r="B1493">
        <v>4</v>
      </c>
      <c r="C1493" t="s">
        <v>1106</v>
      </c>
      <c r="D1493" s="5">
        <v>0</v>
      </c>
      <c r="E1493" t="s">
        <v>1107</v>
      </c>
    </row>
    <row r="1494" spans="1:5" hidden="1" x14ac:dyDescent="0.25">
      <c r="A1494">
        <v>29</v>
      </c>
      <c r="B1494">
        <v>4</v>
      </c>
      <c r="C1494" t="s">
        <v>39</v>
      </c>
      <c r="D1494" s="4">
        <v>0</v>
      </c>
      <c r="E1494" t="s">
        <v>39</v>
      </c>
    </row>
    <row r="1495" spans="1:5" x14ac:dyDescent="0.25">
      <c r="A1495">
        <v>29</v>
      </c>
      <c r="B1495">
        <v>4</v>
      </c>
      <c r="C1495" t="s">
        <v>1108</v>
      </c>
      <c r="D1495" s="5">
        <v>0</v>
      </c>
      <c r="E1495" t="s">
        <v>1109</v>
      </c>
    </row>
    <row r="1496" spans="1:5" hidden="1" x14ac:dyDescent="0.25">
      <c r="A1496">
        <v>29</v>
      </c>
      <c r="B1496">
        <v>4</v>
      </c>
      <c r="C1496" t="s">
        <v>39</v>
      </c>
      <c r="D1496" s="4">
        <v>0</v>
      </c>
      <c r="E1496" t="s">
        <v>39</v>
      </c>
    </row>
    <row r="1497" spans="1:5" x14ac:dyDescent="0.25">
      <c r="A1497">
        <v>29</v>
      </c>
      <c r="B1497">
        <v>4</v>
      </c>
      <c r="C1497" t="s">
        <v>1110</v>
      </c>
      <c r="D1497" s="5">
        <v>0</v>
      </c>
      <c r="E1497" t="s">
        <v>2530</v>
      </c>
    </row>
    <row r="1498" spans="1:5" hidden="1" x14ac:dyDescent="0.25">
      <c r="A1498">
        <v>29</v>
      </c>
      <c r="B1498">
        <v>4</v>
      </c>
      <c r="C1498" t="s">
        <v>39</v>
      </c>
      <c r="D1498" s="4">
        <v>0</v>
      </c>
      <c r="E1498" t="s">
        <v>39</v>
      </c>
    </row>
    <row r="1499" spans="1:5" hidden="1" x14ac:dyDescent="0.25">
      <c r="A1499">
        <v>29</v>
      </c>
      <c r="B1499">
        <v>7</v>
      </c>
      <c r="C1499" t="s">
        <v>39</v>
      </c>
      <c r="D1499" s="4">
        <v>0</v>
      </c>
      <c r="E1499" t="s">
        <v>39</v>
      </c>
    </row>
    <row r="1500" spans="1:5" x14ac:dyDescent="0.25">
      <c r="A1500">
        <v>29</v>
      </c>
      <c r="B1500">
        <v>7</v>
      </c>
      <c r="C1500" t="s">
        <v>1111</v>
      </c>
      <c r="D1500" s="5">
        <v>0</v>
      </c>
      <c r="E1500" t="s">
        <v>2531</v>
      </c>
    </row>
    <row r="1501" spans="1:5" hidden="1" x14ac:dyDescent="0.25">
      <c r="A1501">
        <v>29</v>
      </c>
      <c r="B1501">
        <v>7</v>
      </c>
      <c r="C1501" t="s">
        <v>39</v>
      </c>
      <c r="D1501" s="4">
        <v>0</v>
      </c>
      <c r="E1501" t="s">
        <v>39</v>
      </c>
    </row>
    <row r="1502" spans="1:5" x14ac:dyDescent="0.25">
      <c r="A1502">
        <v>29</v>
      </c>
      <c r="B1502">
        <v>7</v>
      </c>
      <c r="C1502" t="s">
        <v>1112</v>
      </c>
      <c r="D1502" s="5">
        <v>0</v>
      </c>
      <c r="E1502" t="s">
        <v>2532</v>
      </c>
    </row>
    <row r="1503" spans="1:5" hidden="1" x14ac:dyDescent="0.25">
      <c r="A1503">
        <v>29</v>
      </c>
      <c r="B1503">
        <v>7</v>
      </c>
      <c r="C1503" t="s">
        <v>39</v>
      </c>
      <c r="D1503" s="4">
        <v>0</v>
      </c>
      <c r="E1503" t="s">
        <v>39</v>
      </c>
    </row>
    <row r="1504" spans="1:5" x14ac:dyDescent="0.25">
      <c r="A1504">
        <v>29</v>
      </c>
      <c r="B1504">
        <v>7</v>
      </c>
      <c r="C1504" t="s">
        <v>15</v>
      </c>
      <c r="D1504" s="5">
        <v>0</v>
      </c>
      <c r="E1504" t="s">
        <v>16</v>
      </c>
    </row>
    <row r="1505" spans="1:5" hidden="1" x14ac:dyDescent="0.25">
      <c r="A1505">
        <v>29</v>
      </c>
      <c r="B1505">
        <v>7</v>
      </c>
      <c r="C1505" t="s">
        <v>39</v>
      </c>
      <c r="D1505" s="4">
        <v>0</v>
      </c>
      <c r="E1505" t="s">
        <v>39</v>
      </c>
    </row>
    <row r="1506" spans="1:5" x14ac:dyDescent="0.25">
      <c r="A1506">
        <v>29</v>
      </c>
      <c r="B1506">
        <v>7</v>
      </c>
      <c r="C1506" t="s">
        <v>217</v>
      </c>
      <c r="D1506" s="5">
        <v>0</v>
      </c>
      <c r="E1506" t="s">
        <v>1113</v>
      </c>
    </row>
    <row r="1507" spans="1:5" hidden="1" x14ac:dyDescent="0.25">
      <c r="A1507">
        <v>29</v>
      </c>
      <c r="B1507">
        <v>7</v>
      </c>
      <c r="C1507" t="s">
        <v>39</v>
      </c>
      <c r="D1507" s="4">
        <v>0</v>
      </c>
      <c r="E1507" t="s">
        <v>39</v>
      </c>
    </row>
    <row r="1508" spans="1:5" hidden="1" x14ac:dyDescent="0.25">
      <c r="A1508">
        <v>29</v>
      </c>
      <c r="B1508">
        <v>10</v>
      </c>
      <c r="C1508" t="s">
        <v>39</v>
      </c>
      <c r="D1508" s="4">
        <v>0</v>
      </c>
      <c r="E1508" t="s">
        <v>39</v>
      </c>
    </row>
    <row r="1509" spans="1:5" x14ac:dyDescent="0.25">
      <c r="A1509">
        <v>29</v>
      </c>
      <c r="B1509">
        <v>10</v>
      </c>
      <c r="C1509" t="s">
        <v>1114</v>
      </c>
      <c r="D1509" s="5">
        <v>0</v>
      </c>
      <c r="E1509" t="s">
        <v>1115</v>
      </c>
    </row>
    <row r="1510" spans="1:5" hidden="1" x14ac:dyDescent="0.25">
      <c r="A1510">
        <v>29</v>
      </c>
      <c r="B1510">
        <v>10</v>
      </c>
      <c r="C1510" t="s">
        <v>39</v>
      </c>
      <c r="D1510" s="4">
        <v>0</v>
      </c>
      <c r="E1510" t="s">
        <v>39</v>
      </c>
    </row>
    <row r="1511" spans="1:5" x14ac:dyDescent="0.25">
      <c r="A1511">
        <v>29</v>
      </c>
      <c r="B1511">
        <v>10</v>
      </c>
      <c r="C1511" t="s">
        <v>1116</v>
      </c>
      <c r="D1511" s="5">
        <v>0</v>
      </c>
      <c r="E1511" t="s">
        <v>1117</v>
      </c>
    </row>
    <row r="1512" spans="1:5" hidden="1" x14ac:dyDescent="0.25">
      <c r="A1512">
        <v>29</v>
      </c>
      <c r="B1512">
        <v>10</v>
      </c>
      <c r="C1512" t="s">
        <v>39</v>
      </c>
      <c r="D1512" s="4">
        <v>0</v>
      </c>
      <c r="E1512" t="s">
        <v>39</v>
      </c>
    </row>
    <row r="1513" spans="1:5" hidden="1" x14ac:dyDescent="0.25">
      <c r="A1513">
        <v>29</v>
      </c>
      <c r="B1513">
        <v>13</v>
      </c>
      <c r="C1513" t="s">
        <v>39</v>
      </c>
      <c r="D1513" s="4">
        <v>0</v>
      </c>
      <c r="E1513" t="s">
        <v>39</v>
      </c>
    </row>
    <row r="1514" spans="1:5" x14ac:dyDescent="0.25">
      <c r="A1514">
        <v>29</v>
      </c>
      <c r="B1514">
        <v>13</v>
      </c>
      <c r="C1514" t="s">
        <v>1118</v>
      </c>
      <c r="D1514" s="5">
        <v>0</v>
      </c>
      <c r="E1514" t="s">
        <v>1119</v>
      </c>
    </row>
    <row r="1515" spans="1:5" hidden="1" x14ac:dyDescent="0.25">
      <c r="A1515">
        <v>29</v>
      </c>
      <c r="B1515">
        <v>13</v>
      </c>
      <c r="C1515" t="s">
        <v>39</v>
      </c>
      <c r="D1515" s="4">
        <v>0</v>
      </c>
      <c r="E1515" t="s">
        <v>39</v>
      </c>
    </row>
    <row r="1516" spans="1:5" x14ac:dyDescent="0.25">
      <c r="A1516">
        <v>29</v>
      </c>
      <c r="B1516">
        <v>13</v>
      </c>
      <c r="C1516" t="s">
        <v>1120</v>
      </c>
      <c r="D1516" s="5">
        <v>0</v>
      </c>
      <c r="E1516" t="s">
        <v>1121</v>
      </c>
    </row>
    <row r="1517" spans="1:5" hidden="1" x14ac:dyDescent="0.25">
      <c r="A1517">
        <v>29</v>
      </c>
      <c r="B1517">
        <v>13</v>
      </c>
      <c r="C1517" t="s">
        <v>39</v>
      </c>
      <c r="D1517" s="4">
        <v>0</v>
      </c>
      <c r="E1517" t="s">
        <v>39</v>
      </c>
    </row>
    <row r="1518" spans="1:5" x14ac:dyDescent="0.25">
      <c r="A1518">
        <v>29</v>
      </c>
      <c r="B1518">
        <v>13</v>
      </c>
      <c r="C1518" t="s">
        <v>1122</v>
      </c>
      <c r="D1518" s="5">
        <v>0</v>
      </c>
      <c r="E1518" t="s">
        <v>2533</v>
      </c>
    </row>
    <row r="1519" spans="1:5" hidden="1" x14ac:dyDescent="0.25">
      <c r="A1519">
        <v>29</v>
      </c>
      <c r="B1519">
        <v>13</v>
      </c>
      <c r="C1519" t="s">
        <v>39</v>
      </c>
      <c r="D1519" s="4">
        <v>0</v>
      </c>
      <c r="E1519" t="s">
        <v>39</v>
      </c>
    </row>
    <row r="1520" spans="1:5" x14ac:dyDescent="0.25">
      <c r="A1520">
        <v>29</v>
      </c>
      <c r="B1520">
        <v>13</v>
      </c>
      <c r="C1520" t="s">
        <v>812</v>
      </c>
      <c r="D1520" s="5">
        <v>0</v>
      </c>
      <c r="E1520" t="s">
        <v>813</v>
      </c>
    </row>
    <row r="1521" spans="1:5" hidden="1" x14ac:dyDescent="0.25">
      <c r="A1521">
        <v>29</v>
      </c>
      <c r="B1521">
        <v>13</v>
      </c>
      <c r="C1521" t="s">
        <v>39</v>
      </c>
      <c r="D1521" s="4">
        <v>0</v>
      </c>
      <c r="E1521" t="s">
        <v>39</v>
      </c>
    </row>
    <row r="1522" spans="1:5" hidden="1" x14ac:dyDescent="0.25">
      <c r="A1522">
        <v>29</v>
      </c>
      <c r="B1522">
        <v>16</v>
      </c>
      <c r="C1522" t="s">
        <v>39</v>
      </c>
      <c r="D1522" s="4">
        <v>0</v>
      </c>
      <c r="E1522" t="s">
        <v>39</v>
      </c>
    </row>
    <row r="1523" spans="1:5" x14ac:dyDescent="0.25">
      <c r="A1523">
        <v>29</v>
      </c>
      <c r="B1523">
        <v>16</v>
      </c>
      <c r="C1523" t="s">
        <v>1123</v>
      </c>
      <c r="D1523" s="5">
        <v>0</v>
      </c>
      <c r="E1523" t="s">
        <v>1124</v>
      </c>
    </row>
    <row r="1524" spans="1:5" hidden="1" x14ac:dyDescent="0.25">
      <c r="A1524">
        <v>29</v>
      </c>
      <c r="B1524">
        <v>16</v>
      </c>
      <c r="C1524" t="s">
        <v>39</v>
      </c>
      <c r="D1524" s="4">
        <v>0</v>
      </c>
      <c r="E1524" t="s">
        <v>39</v>
      </c>
    </row>
    <row r="1525" spans="1:5" x14ac:dyDescent="0.25">
      <c r="A1525">
        <v>29</v>
      </c>
      <c r="B1525">
        <v>16</v>
      </c>
      <c r="C1525" t="s">
        <v>1125</v>
      </c>
      <c r="D1525" s="5">
        <v>0</v>
      </c>
      <c r="E1525" t="s">
        <v>1126</v>
      </c>
    </row>
    <row r="1526" spans="1:5" hidden="1" x14ac:dyDescent="0.25">
      <c r="A1526">
        <v>29</v>
      </c>
      <c r="B1526">
        <v>16</v>
      </c>
      <c r="C1526" t="s">
        <v>39</v>
      </c>
      <c r="D1526" s="4">
        <v>0</v>
      </c>
      <c r="E1526" t="s">
        <v>39</v>
      </c>
    </row>
    <row r="1527" spans="1:5" x14ac:dyDescent="0.25">
      <c r="A1527">
        <v>29</v>
      </c>
      <c r="B1527">
        <v>16</v>
      </c>
      <c r="C1527" t="s">
        <v>1127</v>
      </c>
      <c r="D1527" s="5">
        <v>0</v>
      </c>
      <c r="E1527" t="s">
        <v>2534</v>
      </c>
    </row>
    <row r="1528" spans="1:5" hidden="1" x14ac:dyDescent="0.25">
      <c r="A1528">
        <v>29</v>
      </c>
      <c r="B1528">
        <v>16</v>
      </c>
      <c r="C1528" t="s">
        <v>39</v>
      </c>
      <c r="D1528" s="4">
        <v>0</v>
      </c>
      <c r="E1528" t="s">
        <v>39</v>
      </c>
    </row>
    <row r="1529" spans="1:5" hidden="1" x14ac:dyDescent="0.25">
      <c r="A1529">
        <v>29</v>
      </c>
      <c r="B1529">
        <v>20</v>
      </c>
      <c r="C1529" t="s">
        <v>39</v>
      </c>
      <c r="D1529" s="4">
        <v>0</v>
      </c>
      <c r="E1529" t="s">
        <v>39</v>
      </c>
    </row>
    <row r="1530" spans="1:5" x14ac:dyDescent="0.25">
      <c r="A1530">
        <v>29</v>
      </c>
      <c r="B1530">
        <v>20</v>
      </c>
      <c r="C1530" t="s">
        <v>1128</v>
      </c>
      <c r="D1530" s="5">
        <v>0</v>
      </c>
      <c r="E1530" t="s">
        <v>1129</v>
      </c>
    </row>
    <row r="1531" spans="1:5" hidden="1" x14ac:dyDescent="0.25">
      <c r="A1531">
        <v>29</v>
      </c>
      <c r="B1531">
        <v>20</v>
      </c>
      <c r="C1531" t="s">
        <v>39</v>
      </c>
      <c r="D1531" s="4">
        <v>0</v>
      </c>
      <c r="E1531" t="s">
        <v>39</v>
      </c>
    </row>
    <row r="1532" spans="1:5" x14ac:dyDescent="0.25">
      <c r="A1532">
        <v>29</v>
      </c>
      <c r="B1532">
        <v>20</v>
      </c>
      <c r="C1532" t="s">
        <v>1130</v>
      </c>
      <c r="D1532" s="5">
        <v>0</v>
      </c>
      <c r="E1532" t="s">
        <v>1131</v>
      </c>
    </row>
    <row r="1533" spans="1:5" hidden="1" x14ac:dyDescent="0.25">
      <c r="A1533">
        <v>29</v>
      </c>
      <c r="B1533">
        <v>20</v>
      </c>
      <c r="C1533" t="s">
        <v>39</v>
      </c>
      <c r="D1533" s="4">
        <v>0</v>
      </c>
      <c r="E1533" t="s">
        <v>39</v>
      </c>
    </row>
    <row r="1534" spans="1:5" x14ac:dyDescent="0.25">
      <c r="A1534">
        <v>29</v>
      </c>
      <c r="B1534">
        <v>20</v>
      </c>
      <c r="C1534" t="s">
        <v>1132</v>
      </c>
      <c r="D1534" s="5">
        <v>0</v>
      </c>
      <c r="E1534" t="s">
        <v>1133</v>
      </c>
    </row>
    <row r="1535" spans="1:5" hidden="1" x14ac:dyDescent="0.25">
      <c r="A1535">
        <v>29</v>
      </c>
      <c r="B1535">
        <v>20</v>
      </c>
      <c r="C1535" t="s">
        <v>39</v>
      </c>
      <c r="D1535" s="4">
        <v>0</v>
      </c>
      <c r="E1535" t="s">
        <v>39</v>
      </c>
    </row>
    <row r="1536" spans="1:5" x14ac:dyDescent="0.25">
      <c r="A1536">
        <v>29</v>
      </c>
      <c r="B1536">
        <v>20</v>
      </c>
      <c r="C1536" t="s">
        <v>245</v>
      </c>
      <c r="D1536" s="5">
        <v>0</v>
      </c>
      <c r="E1536" t="s">
        <v>246</v>
      </c>
    </row>
    <row r="1537" spans="1:5" x14ac:dyDescent="0.25">
      <c r="A1537">
        <v>30</v>
      </c>
      <c r="B1537">
        <v>1</v>
      </c>
      <c r="C1537" t="s">
        <v>1134</v>
      </c>
      <c r="D1537" s="5">
        <v>0</v>
      </c>
      <c r="E1537" t="s">
        <v>2535</v>
      </c>
    </row>
    <row r="1538" spans="1:5" hidden="1" x14ac:dyDescent="0.25">
      <c r="A1538">
        <v>30</v>
      </c>
      <c r="B1538">
        <v>1</v>
      </c>
      <c r="C1538" t="s">
        <v>39</v>
      </c>
      <c r="D1538" s="4">
        <v>0</v>
      </c>
      <c r="E1538" t="s">
        <v>39</v>
      </c>
    </row>
    <row r="1539" spans="1:5" x14ac:dyDescent="0.25">
      <c r="A1539">
        <v>30</v>
      </c>
      <c r="B1539">
        <v>1</v>
      </c>
      <c r="C1539" t="s">
        <v>1135</v>
      </c>
      <c r="D1539" s="5">
        <v>0</v>
      </c>
      <c r="E1539" t="s">
        <v>1136</v>
      </c>
    </row>
    <row r="1540" spans="1:5" hidden="1" x14ac:dyDescent="0.25">
      <c r="A1540">
        <v>30</v>
      </c>
      <c r="B1540">
        <v>1</v>
      </c>
      <c r="C1540" t="s">
        <v>39</v>
      </c>
      <c r="D1540" s="4">
        <v>0</v>
      </c>
      <c r="E1540" t="s">
        <v>39</v>
      </c>
    </row>
    <row r="1541" spans="1:5" x14ac:dyDescent="0.25">
      <c r="A1541">
        <v>30</v>
      </c>
      <c r="B1541">
        <v>1</v>
      </c>
      <c r="C1541" t="s">
        <v>1137</v>
      </c>
      <c r="D1541" s="5">
        <v>0</v>
      </c>
      <c r="E1541" t="s">
        <v>2536</v>
      </c>
    </row>
    <row r="1542" spans="1:5" hidden="1" x14ac:dyDescent="0.25">
      <c r="A1542">
        <v>30</v>
      </c>
      <c r="B1542">
        <v>1</v>
      </c>
      <c r="C1542" t="s">
        <v>39</v>
      </c>
      <c r="D1542" s="4">
        <v>0</v>
      </c>
      <c r="E1542" t="s">
        <v>39</v>
      </c>
    </row>
    <row r="1543" spans="1:5" x14ac:dyDescent="0.25">
      <c r="A1543">
        <v>30</v>
      </c>
      <c r="B1543">
        <v>1</v>
      </c>
      <c r="C1543" t="s">
        <v>1138</v>
      </c>
      <c r="D1543" s="5">
        <v>0</v>
      </c>
      <c r="E1543" t="s">
        <v>1139</v>
      </c>
    </row>
    <row r="1544" spans="1:5" hidden="1" x14ac:dyDescent="0.25">
      <c r="A1544">
        <v>30</v>
      </c>
      <c r="B1544">
        <v>1</v>
      </c>
      <c r="C1544" t="s">
        <v>39</v>
      </c>
      <c r="D1544" s="4">
        <v>0</v>
      </c>
      <c r="E1544" t="s">
        <v>39</v>
      </c>
    </row>
    <row r="1545" spans="1:5" hidden="1" x14ac:dyDescent="0.25">
      <c r="A1545">
        <v>30</v>
      </c>
      <c r="B1545">
        <v>4</v>
      </c>
      <c r="C1545" t="s">
        <v>39</v>
      </c>
      <c r="D1545" s="4">
        <v>0</v>
      </c>
      <c r="E1545" t="s">
        <v>39</v>
      </c>
    </row>
    <row r="1546" spans="1:5" x14ac:dyDescent="0.25">
      <c r="A1546">
        <v>30</v>
      </c>
      <c r="B1546">
        <v>4</v>
      </c>
      <c r="C1546" t="s">
        <v>1140</v>
      </c>
      <c r="D1546" s="5">
        <v>0</v>
      </c>
      <c r="E1546" t="s">
        <v>1141</v>
      </c>
    </row>
    <row r="1547" spans="1:5" hidden="1" x14ac:dyDescent="0.25">
      <c r="A1547">
        <v>30</v>
      </c>
      <c r="B1547">
        <v>4</v>
      </c>
      <c r="C1547" t="s">
        <v>39</v>
      </c>
      <c r="D1547" s="4">
        <v>0</v>
      </c>
      <c r="E1547" t="s">
        <v>39</v>
      </c>
    </row>
    <row r="1548" spans="1:5" x14ac:dyDescent="0.25">
      <c r="A1548">
        <v>30</v>
      </c>
      <c r="B1548">
        <v>4</v>
      </c>
      <c r="C1548" t="s">
        <v>1142</v>
      </c>
      <c r="D1548" s="5">
        <v>0</v>
      </c>
      <c r="E1548" t="s">
        <v>1143</v>
      </c>
    </row>
    <row r="1549" spans="1:5" hidden="1" x14ac:dyDescent="0.25">
      <c r="A1549">
        <v>30</v>
      </c>
      <c r="B1549">
        <v>4</v>
      </c>
      <c r="C1549" t="s">
        <v>39</v>
      </c>
      <c r="D1549" s="4">
        <v>0</v>
      </c>
      <c r="E1549" t="s">
        <v>39</v>
      </c>
    </row>
    <row r="1550" spans="1:5" x14ac:dyDescent="0.25">
      <c r="A1550">
        <v>30</v>
      </c>
      <c r="B1550">
        <v>4</v>
      </c>
      <c r="C1550" t="s">
        <v>1144</v>
      </c>
      <c r="D1550" s="5">
        <v>0</v>
      </c>
      <c r="E1550" t="s">
        <v>1145</v>
      </c>
    </row>
    <row r="1551" spans="1:5" hidden="1" x14ac:dyDescent="0.25">
      <c r="A1551">
        <v>30</v>
      </c>
      <c r="B1551">
        <v>4</v>
      </c>
      <c r="C1551" t="s">
        <v>39</v>
      </c>
      <c r="D1551" s="4">
        <v>0</v>
      </c>
      <c r="E1551" t="s">
        <v>39</v>
      </c>
    </row>
    <row r="1552" spans="1:5" x14ac:dyDescent="0.25">
      <c r="A1552">
        <v>30</v>
      </c>
      <c r="B1552">
        <v>4</v>
      </c>
      <c r="C1552" t="s">
        <v>1146</v>
      </c>
      <c r="D1552" s="5">
        <v>0</v>
      </c>
      <c r="E1552" t="s">
        <v>1147</v>
      </c>
    </row>
    <row r="1553" spans="1:5" hidden="1" x14ac:dyDescent="0.25">
      <c r="A1553">
        <v>30</v>
      </c>
      <c r="B1553">
        <v>4</v>
      </c>
      <c r="C1553" t="s">
        <v>39</v>
      </c>
      <c r="D1553" s="4">
        <v>0</v>
      </c>
      <c r="E1553" t="s">
        <v>39</v>
      </c>
    </row>
    <row r="1554" spans="1:5" hidden="1" x14ac:dyDescent="0.25">
      <c r="A1554">
        <v>30</v>
      </c>
      <c r="B1554">
        <v>7</v>
      </c>
      <c r="C1554" t="s">
        <v>39</v>
      </c>
      <c r="D1554" s="4">
        <v>0</v>
      </c>
      <c r="E1554" t="s">
        <v>39</v>
      </c>
    </row>
    <row r="1555" spans="1:5" x14ac:dyDescent="0.25">
      <c r="A1555">
        <v>30</v>
      </c>
      <c r="B1555">
        <v>7</v>
      </c>
      <c r="C1555" t="s">
        <v>1148</v>
      </c>
      <c r="D1555" s="5">
        <v>0</v>
      </c>
      <c r="E1555" t="s">
        <v>2537</v>
      </c>
    </row>
    <row r="1556" spans="1:5" hidden="1" x14ac:dyDescent="0.25">
      <c r="A1556">
        <v>30</v>
      </c>
      <c r="B1556">
        <v>7</v>
      </c>
      <c r="C1556" t="s">
        <v>39</v>
      </c>
      <c r="D1556" s="4">
        <v>0</v>
      </c>
      <c r="E1556" t="s">
        <v>39</v>
      </c>
    </row>
    <row r="1557" spans="1:5" x14ac:dyDescent="0.25">
      <c r="A1557">
        <v>30</v>
      </c>
      <c r="B1557">
        <v>7</v>
      </c>
      <c r="C1557" t="s">
        <v>1149</v>
      </c>
      <c r="D1557" s="5">
        <v>0</v>
      </c>
      <c r="E1557" t="s">
        <v>1150</v>
      </c>
    </row>
    <row r="1558" spans="1:5" hidden="1" x14ac:dyDescent="0.25">
      <c r="A1558">
        <v>30</v>
      </c>
      <c r="B1558">
        <v>7</v>
      </c>
      <c r="C1558" t="s">
        <v>39</v>
      </c>
      <c r="D1558" s="4">
        <v>0</v>
      </c>
      <c r="E1558" t="s">
        <v>39</v>
      </c>
    </row>
    <row r="1559" spans="1:5" x14ac:dyDescent="0.25">
      <c r="A1559">
        <v>30</v>
      </c>
      <c r="B1559">
        <v>7</v>
      </c>
      <c r="C1559" t="s">
        <v>1151</v>
      </c>
      <c r="D1559" s="5">
        <v>0</v>
      </c>
      <c r="E1559" t="s">
        <v>2538</v>
      </c>
    </row>
    <row r="1560" spans="1:5" hidden="1" x14ac:dyDescent="0.25">
      <c r="A1560">
        <v>30</v>
      </c>
      <c r="B1560">
        <v>7</v>
      </c>
      <c r="C1560" t="s">
        <v>39</v>
      </c>
      <c r="D1560" s="4">
        <v>0</v>
      </c>
      <c r="E1560" t="s">
        <v>39</v>
      </c>
    </row>
    <row r="1561" spans="1:5" x14ac:dyDescent="0.25">
      <c r="A1561">
        <v>30</v>
      </c>
      <c r="B1561">
        <v>7</v>
      </c>
      <c r="C1561" t="s">
        <v>2539</v>
      </c>
      <c r="D1561" s="5">
        <v>0</v>
      </c>
      <c r="E1561" t="s">
        <v>2540</v>
      </c>
    </row>
    <row r="1562" spans="1:5" hidden="1" x14ac:dyDescent="0.25">
      <c r="A1562">
        <v>30</v>
      </c>
      <c r="B1562">
        <v>7</v>
      </c>
      <c r="C1562" t="s">
        <v>39</v>
      </c>
      <c r="D1562" s="4">
        <v>0</v>
      </c>
      <c r="E1562" t="s">
        <v>39</v>
      </c>
    </row>
    <row r="1563" spans="1:5" hidden="1" x14ac:dyDescent="0.25">
      <c r="A1563">
        <v>30</v>
      </c>
      <c r="B1563">
        <v>10</v>
      </c>
      <c r="C1563" t="s">
        <v>39</v>
      </c>
      <c r="D1563" s="4">
        <v>0</v>
      </c>
      <c r="E1563" t="s">
        <v>39</v>
      </c>
    </row>
    <row r="1564" spans="1:5" x14ac:dyDescent="0.25">
      <c r="A1564">
        <v>30</v>
      </c>
      <c r="B1564">
        <v>10</v>
      </c>
      <c r="C1564" t="s">
        <v>1152</v>
      </c>
      <c r="D1564" s="5">
        <v>0</v>
      </c>
      <c r="E1564" t="s">
        <v>1153</v>
      </c>
    </row>
    <row r="1565" spans="1:5" hidden="1" x14ac:dyDescent="0.25">
      <c r="A1565">
        <v>30</v>
      </c>
      <c r="B1565">
        <v>10</v>
      </c>
      <c r="C1565" t="s">
        <v>39</v>
      </c>
      <c r="D1565" s="4">
        <v>0</v>
      </c>
      <c r="E1565" t="s">
        <v>39</v>
      </c>
    </row>
    <row r="1566" spans="1:5" x14ac:dyDescent="0.25">
      <c r="A1566">
        <v>30</v>
      </c>
      <c r="B1566">
        <v>10</v>
      </c>
      <c r="C1566" t="s">
        <v>1154</v>
      </c>
      <c r="D1566" s="5">
        <v>0</v>
      </c>
      <c r="E1566" t="s">
        <v>1155</v>
      </c>
    </row>
    <row r="1567" spans="1:5" hidden="1" x14ac:dyDescent="0.25">
      <c r="A1567">
        <v>30</v>
      </c>
      <c r="B1567">
        <v>10</v>
      </c>
      <c r="C1567" t="s">
        <v>39</v>
      </c>
      <c r="D1567" s="4">
        <v>0</v>
      </c>
      <c r="E1567" t="s">
        <v>39</v>
      </c>
    </row>
    <row r="1568" spans="1:5" hidden="1" x14ac:dyDescent="0.25">
      <c r="A1568">
        <v>30</v>
      </c>
      <c r="B1568">
        <v>13</v>
      </c>
      <c r="C1568" t="s">
        <v>39</v>
      </c>
      <c r="D1568" s="4">
        <v>0</v>
      </c>
      <c r="E1568" t="s">
        <v>39</v>
      </c>
    </row>
    <row r="1569" spans="1:5" x14ac:dyDescent="0.25">
      <c r="A1569">
        <v>30</v>
      </c>
      <c r="B1569">
        <v>13</v>
      </c>
      <c r="C1569" t="s">
        <v>1156</v>
      </c>
      <c r="D1569" s="5">
        <v>0</v>
      </c>
      <c r="E1569" t="s">
        <v>2541</v>
      </c>
    </row>
    <row r="1570" spans="1:5" hidden="1" x14ac:dyDescent="0.25">
      <c r="A1570">
        <v>30</v>
      </c>
      <c r="B1570">
        <v>13</v>
      </c>
      <c r="C1570" t="s">
        <v>39</v>
      </c>
      <c r="D1570" s="4">
        <v>0</v>
      </c>
      <c r="E1570" t="s">
        <v>39</v>
      </c>
    </row>
    <row r="1571" spans="1:5" x14ac:dyDescent="0.25">
      <c r="A1571">
        <v>30</v>
      </c>
      <c r="B1571">
        <v>13</v>
      </c>
      <c r="C1571" t="s">
        <v>1157</v>
      </c>
      <c r="D1571" s="5">
        <v>0</v>
      </c>
      <c r="E1571" t="s">
        <v>2542</v>
      </c>
    </row>
    <row r="1572" spans="1:5" hidden="1" x14ac:dyDescent="0.25">
      <c r="A1572">
        <v>30</v>
      </c>
      <c r="B1572">
        <v>13</v>
      </c>
      <c r="C1572" t="s">
        <v>39</v>
      </c>
      <c r="D1572" s="4">
        <v>0</v>
      </c>
      <c r="E1572" t="s">
        <v>39</v>
      </c>
    </row>
    <row r="1573" spans="1:5" x14ac:dyDescent="0.25">
      <c r="A1573">
        <v>30</v>
      </c>
      <c r="B1573">
        <v>13</v>
      </c>
      <c r="C1573" t="s">
        <v>537</v>
      </c>
      <c r="D1573" s="5">
        <v>0</v>
      </c>
      <c r="E1573" t="s">
        <v>2455</v>
      </c>
    </row>
    <row r="1574" spans="1:5" hidden="1" x14ac:dyDescent="0.25">
      <c r="A1574">
        <v>30</v>
      </c>
      <c r="B1574">
        <v>13</v>
      </c>
      <c r="C1574" t="s">
        <v>39</v>
      </c>
      <c r="D1574" s="4">
        <v>0</v>
      </c>
      <c r="E1574" t="s">
        <v>39</v>
      </c>
    </row>
    <row r="1575" spans="1:5" x14ac:dyDescent="0.25">
      <c r="A1575">
        <v>30</v>
      </c>
      <c r="B1575">
        <v>13</v>
      </c>
      <c r="C1575" t="s">
        <v>1158</v>
      </c>
      <c r="D1575" s="5">
        <v>0</v>
      </c>
      <c r="E1575" t="s">
        <v>1159</v>
      </c>
    </row>
    <row r="1576" spans="1:5" hidden="1" x14ac:dyDescent="0.25">
      <c r="A1576">
        <v>30</v>
      </c>
      <c r="B1576">
        <v>13</v>
      </c>
      <c r="C1576" t="s">
        <v>39</v>
      </c>
      <c r="D1576" s="4">
        <v>0</v>
      </c>
      <c r="E1576" t="s">
        <v>39</v>
      </c>
    </row>
    <row r="1577" spans="1:5" hidden="1" x14ac:dyDescent="0.25">
      <c r="A1577">
        <v>30</v>
      </c>
      <c r="B1577">
        <v>16</v>
      </c>
      <c r="C1577" t="s">
        <v>39</v>
      </c>
      <c r="D1577" s="4">
        <v>0</v>
      </c>
      <c r="E1577" t="s">
        <v>39</v>
      </c>
    </row>
    <row r="1578" spans="1:5" x14ac:dyDescent="0.25">
      <c r="A1578">
        <v>30</v>
      </c>
      <c r="B1578">
        <v>16</v>
      </c>
      <c r="C1578" t="s">
        <v>1160</v>
      </c>
      <c r="D1578" s="5">
        <v>0</v>
      </c>
      <c r="E1578" t="s">
        <v>2543</v>
      </c>
    </row>
    <row r="1579" spans="1:5" hidden="1" x14ac:dyDescent="0.25">
      <c r="A1579">
        <v>30</v>
      </c>
      <c r="B1579">
        <v>16</v>
      </c>
      <c r="C1579" t="s">
        <v>39</v>
      </c>
      <c r="D1579" s="4">
        <v>0</v>
      </c>
      <c r="E1579" t="s">
        <v>39</v>
      </c>
    </row>
    <row r="1580" spans="1:5" x14ac:dyDescent="0.25">
      <c r="A1580">
        <v>30</v>
      </c>
      <c r="B1580">
        <v>16</v>
      </c>
      <c r="C1580" t="s">
        <v>1161</v>
      </c>
      <c r="D1580" s="5">
        <v>0</v>
      </c>
      <c r="E1580" t="s">
        <v>1162</v>
      </c>
    </row>
    <row r="1581" spans="1:5" hidden="1" x14ac:dyDescent="0.25">
      <c r="A1581">
        <v>30</v>
      </c>
      <c r="B1581">
        <v>16</v>
      </c>
      <c r="C1581" t="s">
        <v>39</v>
      </c>
      <c r="D1581" s="4">
        <v>0</v>
      </c>
      <c r="E1581" t="s">
        <v>39</v>
      </c>
    </row>
    <row r="1582" spans="1:5" x14ac:dyDescent="0.25">
      <c r="A1582">
        <v>30</v>
      </c>
      <c r="B1582">
        <v>16</v>
      </c>
      <c r="C1582" t="s">
        <v>1163</v>
      </c>
      <c r="D1582" s="5">
        <v>0</v>
      </c>
      <c r="E1582" t="s">
        <v>1164</v>
      </c>
    </row>
    <row r="1583" spans="1:5" hidden="1" x14ac:dyDescent="0.25">
      <c r="A1583">
        <v>30</v>
      </c>
      <c r="B1583">
        <v>16</v>
      </c>
      <c r="C1583" t="s">
        <v>39</v>
      </c>
      <c r="D1583" s="4">
        <v>0</v>
      </c>
      <c r="E1583" t="s">
        <v>39</v>
      </c>
    </row>
    <row r="1584" spans="1:5" x14ac:dyDescent="0.25">
      <c r="A1584">
        <v>30</v>
      </c>
      <c r="B1584">
        <v>16</v>
      </c>
      <c r="C1584" t="s">
        <v>1165</v>
      </c>
      <c r="D1584" s="5">
        <v>0</v>
      </c>
      <c r="E1584" t="s">
        <v>2544</v>
      </c>
    </row>
    <row r="1585" spans="1:5" hidden="1" x14ac:dyDescent="0.25">
      <c r="A1585">
        <v>30</v>
      </c>
      <c r="B1585">
        <v>16</v>
      </c>
      <c r="C1585" t="s">
        <v>39</v>
      </c>
      <c r="D1585" s="4">
        <v>0</v>
      </c>
      <c r="E1585" t="s">
        <v>39</v>
      </c>
    </row>
    <row r="1586" spans="1:5" hidden="1" x14ac:dyDescent="0.25">
      <c r="A1586">
        <v>30</v>
      </c>
      <c r="B1586">
        <v>20</v>
      </c>
      <c r="C1586" t="s">
        <v>39</v>
      </c>
      <c r="D1586" s="4">
        <v>0</v>
      </c>
      <c r="E1586" t="s">
        <v>39</v>
      </c>
    </row>
    <row r="1587" spans="1:5" x14ac:dyDescent="0.25">
      <c r="A1587">
        <v>30</v>
      </c>
      <c r="B1587">
        <v>20</v>
      </c>
      <c r="C1587" t="s">
        <v>2545</v>
      </c>
      <c r="D1587" s="5">
        <v>0</v>
      </c>
      <c r="E1587" t="s">
        <v>2546</v>
      </c>
    </row>
    <row r="1588" spans="1:5" hidden="1" x14ac:dyDescent="0.25">
      <c r="A1588">
        <v>30</v>
      </c>
      <c r="B1588">
        <v>20</v>
      </c>
      <c r="C1588" t="s">
        <v>39</v>
      </c>
      <c r="D1588" s="4">
        <v>0</v>
      </c>
      <c r="E1588" t="s">
        <v>39</v>
      </c>
    </row>
    <row r="1589" spans="1:5" x14ac:dyDescent="0.25">
      <c r="A1589">
        <v>30</v>
      </c>
      <c r="B1589">
        <v>20</v>
      </c>
      <c r="C1589" t="s">
        <v>1166</v>
      </c>
      <c r="D1589" s="5">
        <v>0</v>
      </c>
      <c r="E1589" t="s">
        <v>1167</v>
      </c>
    </row>
    <row r="1590" spans="1:5" hidden="1" x14ac:dyDescent="0.25">
      <c r="A1590">
        <v>30</v>
      </c>
      <c r="B1590">
        <v>20</v>
      </c>
      <c r="C1590" t="s">
        <v>39</v>
      </c>
      <c r="D1590" s="4">
        <v>0</v>
      </c>
      <c r="E1590" t="s">
        <v>39</v>
      </c>
    </row>
    <row r="1591" spans="1:5" x14ac:dyDescent="0.25">
      <c r="A1591">
        <v>30</v>
      </c>
      <c r="B1591">
        <v>20</v>
      </c>
      <c r="C1591" t="s">
        <v>1168</v>
      </c>
      <c r="D1591" s="5">
        <v>0</v>
      </c>
      <c r="E1591" t="s">
        <v>2547</v>
      </c>
    </row>
    <row r="1592" spans="1:5" hidden="1" x14ac:dyDescent="0.25">
      <c r="A1592">
        <v>30</v>
      </c>
      <c r="B1592">
        <v>20</v>
      </c>
      <c r="C1592" t="s">
        <v>39</v>
      </c>
      <c r="D1592" s="4">
        <v>0</v>
      </c>
      <c r="E1592" t="s">
        <v>39</v>
      </c>
    </row>
    <row r="1593" spans="1:5" x14ac:dyDescent="0.25">
      <c r="A1593">
        <v>30</v>
      </c>
      <c r="B1593">
        <v>20</v>
      </c>
      <c r="C1593" t="s">
        <v>1169</v>
      </c>
      <c r="D1593" s="5">
        <v>35</v>
      </c>
      <c r="E1593" t="s">
        <v>1170</v>
      </c>
    </row>
    <row r="1594" spans="1:5" x14ac:dyDescent="0.25">
      <c r="A1594">
        <v>31</v>
      </c>
      <c r="B1594">
        <v>1</v>
      </c>
      <c r="C1594" t="s">
        <v>2548</v>
      </c>
      <c r="D1594" s="5">
        <v>0</v>
      </c>
      <c r="E1594" t="s">
        <v>2549</v>
      </c>
    </row>
    <row r="1595" spans="1:5" hidden="1" x14ac:dyDescent="0.25">
      <c r="A1595">
        <v>31</v>
      </c>
      <c r="B1595" t="s">
        <v>39</v>
      </c>
      <c r="C1595" t="s">
        <v>39</v>
      </c>
      <c r="D1595" s="4">
        <v>0</v>
      </c>
      <c r="E1595" t="s">
        <v>39</v>
      </c>
    </row>
    <row r="1596" spans="1:5" x14ac:dyDescent="0.25">
      <c r="A1596">
        <v>31</v>
      </c>
      <c r="B1596">
        <v>1</v>
      </c>
      <c r="C1596" t="s">
        <v>1171</v>
      </c>
      <c r="D1596" s="5">
        <v>0</v>
      </c>
      <c r="E1596" t="s">
        <v>2550</v>
      </c>
    </row>
    <row r="1597" spans="1:5" hidden="1" x14ac:dyDescent="0.25">
      <c r="A1597">
        <v>31</v>
      </c>
      <c r="B1597" t="s">
        <v>39</v>
      </c>
      <c r="C1597" t="s">
        <v>39</v>
      </c>
      <c r="D1597" s="4">
        <v>0</v>
      </c>
      <c r="E1597" t="s">
        <v>39</v>
      </c>
    </row>
    <row r="1598" spans="1:5" x14ac:dyDescent="0.25">
      <c r="A1598">
        <v>31</v>
      </c>
      <c r="B1598">
        <v>1</v>
      </c>
      <c r="C1598" t="s">
        <v>1102</v>
      </c>
      <c r="D1598" s="5">
        <v>45</v>
      </c>
      <c r="E1598" t="s">
        <v>1103</v>
      </c>
    </row>
    <row r="1599" spans="1:5" hidden="1" x14ac:dyDescent="0.25">
      <c r="A1599">
        <v>31</v>
      </c>
      <c r="B1599" t="s">
        <v>39</v>
      </c>
      <c r="C1599" t="s">
        <v>39</v>
      </c>
      <c r="D1599" s="4">
        <v>0</v>
      </c>
      <c r="E1599" t="s">
        <v>39</v>
      </c>
    </row>
    <row r="1600" spans="1:5" hidden="1" x14ac:dyDescent="0.25">
      <c r="A1600">
        <v>31</v>
      </c>
      <c r="B1600" t="s">
        <v>39</v>
      </c>
      <c r="C1600" t="s">
        <v>39</v>
      </c>
      <c r="D1600" s="4">
        <v>0</v>
      </c>
      <c r="E1600" t="s">
        <v>39</v>
      </c>
    </row>
    <row r="1601" spans="1:5" hidden="1" x14ac:dyDescent="0.25">
      <c r="A1601">
        <v>31</v>
      </c>
      <c r="B1601">
        <v>4</v>
      </c>
      <c r="C1601" t="s">
        <v>39</v>
      </c>
      <c r="D1601" s="4">
        <v>0</v>
      </c>
      <c r="E1601" t="s">
        <v>39</v>
      </c>
    </row>
    <row r="1602" spans="1:5" x14ac:dyDescent="0.25">
      <c r="A1602">
        <v>31</v>
      </c>
      <c r="B1602">
        <v>4</v>
      </c>
      <c r="C1602" t="s">
        <v>2551</v>
      </c>
      <c r="D1602" s="5">
        <v>0</v>
      </c>
      <c r="E1602" t="s">
        <v>1172</v>
      </c>
    </row>
    <row r="1603" spans="1:5" hidden="1" x14ac:dyDescent="0.25">
      <c r="A1603">
        <v>31</v>
      </c>
      <c r="B1603">
        <v>4</v>
      </c>
      <c r="C1603" t="s">
        <v>39</v>
      </c>
      <c r="D1603" s="4">
        <v>0</v>
      </c>
      <c r="E1603" t="s">
        <v>39</v>
      </c>
    </row>
    <row r="1604" spans="1:5" x14ac:dyDescent="0.25">
      <c r="A1604">
        <v>31</v>
      </c>
      <c r="B1604">
        <v>4</v>
      </c>
      <c r="C1604" t="s">
        <v>1173</v>
      </c>
      <c r="D1604" s="5">
        <v>0</v>
      </c>
      <c r="E1604" t="s">
        <v>1174</v>
      </c>
    </row>
    <row r="1605" spans="1:5" hidden="1" x14ac:dyDescent="0.25">
      <c r="A1605">
        <v>31</v>
      </c>
      <c r="B1605">
        <v>4</v>
      </c>
      <c r="C1605" t="s">
        <v>39</v>
      </c>
      <c r="D1605" s="4">
        <v>0</v>
      </c>
      <c r="E1605" t="s">
        <v>39</v>
      </c>
    </row>
    <row r="1606" spans="1:5" x14ac:dyDescent="0.25">
      <c r="A1606">
        <v>31</v>
      </c>
      <c r="B1606">
        <v>4</v>
      </c>
      <c r="C1606" t="s">
        <v>1175</v>
      </c>
      <c r="D1606" s="5">
        <v>0</v>
      </c>
      <c r="E1606" t="s">
        <v>1176</v>
      </c>
    </row>
    <row r="1607" spans="1:5" hidden="1" x14ac:dyDescent="0.25">
      <c r="A1607">
        <v>31</v>
      </c>
      <c r="B1607">
        <v>4</v>
      </c>
      <c r="C1607" t="s">
        <v>39</v>
      </c>
      <c r="D1607" s="4">
        <v>0</v>
      </c>
      <c r="E1607" t="s">
        <v>39</v>
      </c>
    </row>
    <row r="1608" spans="1:5" hidden="1" x14ac:dyDescent="0.25">
      <c r="A1608">
        <v>31</v>
      </c>
      <c r="B1608">
        <v>7</v>
      </c>
      <c r="C1608" t="s">
        <v>39</v>
      </c>
      <c r="D1608" s="4">
        <v>0</v>
      </c>
      <c r="E1608" t="s">
        <v>39</v>
      </c>
    </row>
    <row r="1609" spans="1:5" x14ac:dyDescent="0.25">
      <c r="A1609">
        <v>31</v>
      </c>
      <c r="B1609">
        <v>7</v>
      </c>
      <c r="C1609" t="s">
        <v>1177</v>
      </c>
      <c r="D1609" s="5">
        <v>0</v>
      </c>
      <c r="E1609" t="s">
        <v>1178</v>
      </c>
    </row>
    <row r="1610" spans="1:5" hidden="1" x14ac:dyDescent="0.25">
      <c r="A1610">
        <v>31</v>
      </c>
      <c r="B1610">
        <v>7</v>
      </c>
      <c r="C1610" t="s">
        <v>39</v>
      </c>
      <c r="D1610" s="4">
        <v>0</v>
      </c>
      <c r="E1610" t="s">
        <v>39</v>
      </c>
    </row>
    <row r="1611" spans="1:5" x14ac:dyDescent="0.25">
      <c r="A1611">
        <v>31</v>
      </c>
      <c r="B1611">
        <v>7</v>
      </c>
      <c r="C1611" t="s">
        <v>15</v>
      </c>
      <c r="D1611" s="5">
        <v>60</v>
      </c>
      <c r="E1611" t="s">
        <v>16</v>
      </c>
    </row>
    <row r="1612" spans="1:5" hidden="1" x14ac:dyDescent="0.25">
      <c r="A1612">
        <v>31</v>
      </c>
      <c r="B1612">
        <v>7</v>
      </c>
      <c r="C1612" t="s">
        <v>39</v>
      </c>
      <c r="D1612" s="4">
        <v>0</v>
      </c>
      <c r="E1612" t="s">
        <v>39</v>
      </c>
    </row>
    <row r="1613" spans="1:5" hidden="1" x14ac:dyDescent="0.25">
      <c r="A1613">
        <v>31</v>
      </c>
      <c r="B1613">
        <v>7</v>
      </c>
      <c r="C1613" t="s">
        <v>39</v>
      </c>
      <c r="D1613" s="4">
        <v>0</v>
      </c>
      <c r="E1613" t="s">
        <v>39</v>
      </c>
    </row>
    <row r="1614" spans="1:5" x14ac:dyDescent="0.25">
      <c r="A1614">
        <v>31</v>
      </c>
      <c r="B1614">
        <v>7</v>
      </c>
      <c r="C1614" t="s">
        <v>217</v>
      </c>
      <c r="D1614" s="5">
        <v>60</v>
      </c>
      <c r="E1614" t="s">
        <v>1113</v>
      </c>
    </row>
    <row r="1615" spans="1:5" hidden="1" x14ac:dyDescent="0.25">
      <c r="A1615">
        <v>31</v>
      </c>
      <c r="B1615">
        <v>7</v>
      </c>
      <c r="C1615" t="s">
        <v>39</v>
      </c>
      <c r="D1615" s="4">
        <v>0</v>
      </c>
      <c r="E1615" t="s">
        <v>39</v>
      </c>
    </row>
    <row r="1616" spans="1:5" hidden="1" x14ac:dyDescent="0.25">
      <c r="A1616">
        <v>31</v>
      </c>
      <c r="B1616">
        <v>7</v>
      </c>
      <c r="C1616" t="s">
        <v>39</v>
      </c>
      <c r="D1616" s="4">
        <v>0</v>
      </c>
      <c r="E1616" t="s">
        <v>39</v>
      </c>
    </row>
    <row r="1617" spans="1:5" hidden="1" x14ac:dyDescent="0.25">
      <c r="A1617">
        <v>31</v>
      </c>
      <c r="B1617">
        <v>10</v>
      </c>
      <c r="C1617" t="s">
        <v>39</v>
      </c>
      <c r="D1617" s="4">
        <v>0</v>
      </c>
      <c r="E1617" t="s">
        <v>39</v>
      </c>
    </row>
    <row r="1618" spans="1:5" x14ac:dyDescent="0.25">
      <c r="A1618">
        <v>31</v>
      </c>
      <c r="B1618">
        <v>10</v>
      </c>
      <c r="C1618" t="s">
        <v>1179</v>
      </c>
      <c r="D1618" s="5">
        <v>100</v>
      </c>
      <c r="E1618" t="s">
        <v>1180</v>
      </c>
    </row>
    <row r="1619" spans="1:5" hidden="1" x14ac:dyDescent="0.25">
      <c r="A1619">
        <v>31</v>
      </c>
      <c r="B1619">
        <v>10</v>
      </c>
      <c r="C1619" t="s">
        <v>39</v>
      </c>
      <c r="D1619" s="4">
        <v>0</v>
      </c>
      <c r="E1619" t="s">
        <v>39</v>
      </c>
    </row>
    <row r="1620" spans="1:5" hidden="1" x14ac:dyDescent="0.25">
      <c r="A1620">
        <v>31</v>
      </c>
      <c r="B1620">
        <v>10</v>
      </c>
      <c r="C1620" t="s">
        <v>39</v>
      </c>
      <c r="D1620" s="4">
        <v>0</v>
      </c>
      <c r="E1620" t="s">
        <v>39</v>
      </c>
    </row>
    <row r="1621" spans="1:5" x14ac:dyDescent="0.25">
      <c r="A1621">
        <v>31</v>
      </c>
      <c r="B1621">
        <v>10</v>
      </c>
      <c r="C1621" t="s">
        <v>1181</v>
      </c>
      <c r="D1621" s="5">
        <v>90</v>
      </c>
      <c r="E1621" t="s">
        <v>1182</v>
      </c>
    </row>
    <row r="1622" spans="1:5" hidden="1" x14ac:dyDescent="0.25">
      <c r="A1622">
        <v>31</v>
      </c>
      <c r="B1622">
        <v>10</v>
      </c>
      <c r="C1622" t="s">
        <v>39</v>
      </c>
      <c r="D1622" s="4">
        <v>0</v>
      </c>
      <c r="E1622" t="s">
        <v>39</v>
      </c>
    </row>
    <row r="1623" spans="1:5" hidden="1" x14ac:dyDescent="0.25">
      <c r="A1623">
        <v>31</v>
      </c>
      <c r="B1623">
        <v>10</v>
      </c>
      <c r="C1623" t="s">
        <v>39</v>
      </c>
      <c r="D1623" s="4">
        <v>0</v>
      </c>
      <c r="E1623" t="s">
        <v>39</v>
      </c>
    </row>
    <row r="1624" spans="1:5" hidden="1" x14ac:dyDescent="0.25">
      <c r="A1624">
        <v>31</v>
      </c>
      <c r="B1624">
        <v>13</v>
      </c>
      <c r="C1624" t="s">
        <v>39</v>
      </c>
      <c r="D1624" s="4">
        <v>0</v>
      </c>
      <c r="E1624" t="s">
        <v>39</v>
      </c>
    </row>
    <row r="1625" spans="1:5" x14ac:dyDescent="0.25">
      <c r="A1625">
        <v>31</v>
      </c>
      <c r="B1625">
        <v>13</v>
      </c>
      <c r="C1625" t="s">
        <v>1183</v>
      </c>
      <c r="D1625" s="5">
        <v>0</v>
      </c>
      <c r="E1625" t="s">
        <v>1184</v>
      </c>
    </row>
    <row r="1626" spans="1:5" hidden="1" x14ac:dyDescent="0.25">
      <c r="A1626">
        <v>31</v>
      </c>
      <c r="B1626">
        <v>13</v>
      </c>
      <c r="C1626" t="s">
        <v>39</v>
      </c>
      <c r="D1626" s="4">
        <v>0</v>
      </c>
      <c r="E1626" t="s">
        <v>39</v>
      </c>
    </row>
    <row r="1627" spans="1:5" x14ac:dyDescent="0.25">
      <c r="A1627">
        <v>31</v>
      </c>
      <c r="B1627">
        <v>13</v>
      </c>
      <c r="C1627" t="s">
        <v>1185</v>
      </c>
      <c r="D1627" s="5">
        <v>0</v>
      </c>
      <c r="E1627" t="s">
        <v>2552</v>
      </c>
    </row>
    <row r="1628" spans="1:5" hidden="1" x14ac:dyDescent="0.25">
      <c r="A1628">
        <v>31</v>
      </c>
      <c r="B1628">
        <v>13</v>
      </c>
      <c r="C1628" t="s">
        <v>39</v>
      </c>
      <c r="D1628" s="4">
        <v>0</v>
      </c>
      <c r="E1628" t="s">
        <v>39</v>
      </c>
    </row>
    <row r="1629" spans="1:5" x14ac:dyDescent="0.25">
      <c r="A1629">
        <v>31</v>
      </c>
      <c r="B1629">
        <v>13</v>
      </c>
      <c r="C1629" t="s">
        <v>1003</v>
      </c>
      <c r="D1629" s="5">
        <v>0</v>
      </c>
      <c r="E1629" t="s">
        <v>2513</v>
      </c>
    </row>
    <row r="1630" spans="1:5" hidden="1" x14ac:dyDescent="0.25">
      <c r="A1630">
        <v>31</v>
      </c>
      <c r="B1630">
        <v>13</v>
      </c>
      <c r="C1630" t="s">
        <v>39</v>
      </c>
      <c r="D1630" s="4">
        <v>0</v>
      </c>
      <c r="E1630" t="s">
        <v>39</v>
      </c>
    </row>
    <row r="1631" spans="1:5" x14ac:dyDescent="0.25">
      <c r="A1631">
        <v>31</v>
      </c>
      <c r="B1631">
        <v>13</v>
      </c>
      <c r="C1631" t="s">
        <v>229</v>
      </c>
      <c r="D1631" s="5">
        <v>60</v>
      </c>
      <c r="E1631" t="s">
        <v>230</v>
      </c>
    </row>
    <row r="1632" spans="1:5" hidden="1" x14ac:dyDescent="0.25">
      <c r="A1632">
        <v>31</v>
      </c>
      <c r="B1632">
        <v>13</v>
      </c>
      <c r="C1632" t="s">
        <v>39</v>
      </c>
      <c r="D1632" s="4">
        <v>0</v>
      </c>
      <c r="E1632" t="s">
        <v>39</v>
      </c>
    </row>
    <row r="1633" spans="1:5" hidden="1" x14ac:dyDescent="0.25">
      <c r="A1633">
        <v>31</v>
      </c>
      <c r="B1633">
        <v>13</v>
      </c>
      <c r="C1633" t="s">
        <v>39</v>
      </c>
      <c r="D1633" s="4">
        <v>0</v>
      </c>
      <c r="E1633" t="s">
        <v>39</v>
      </c>
    </row>
    <row r="1634" spans="1:5" hidden="1" x14ac:dyDescent="0.25">
      <c r="A1634">
        <v>31</v>
      </c>
      <c r="B1634">
        <v>16</v>
      </c>
      <c r="C1634" t="s">
        <v>39</v>
      </c>
      <c r="D1634" s="4">
        <v>0</v>
      </c>
      <c r="E1634" t="s">
        <v>39</v>
      </c>
    </row>
    <row r="1635" spans="1:5" x14ac:dyDescent="0.25">
      <c r="A1635">
        <v>31</v>
      </c>
      <c r="B1635">
        <v>16</v>
      </c>
      <c r="C1635" t="s">
        <v>237</v>
      </c>
      <c r="D1635" s="5">
        <v>0</v>
      </c>
      <c r="E1635" t="s">
        <v>238</v>
      </c>
    </row>
    <row r="1636" spans="1:5" hidden="1" x14ac:dyDescent="0.25">
      <c r="A1636">
        <v>31</v>
      </c>
      <c r="B1636">
        <v>16</v>
      </c>
      <c r="C1636" t="s">
        <v>39</v>
      </c>
      <c r="D1636" s="4">
        <v>0</v>
      </c>
      <c r="E1636" t="s">
        <v>39</v>
      </c>
    </row>
    <row r="1637" spans="1:5" x14ac:dyDescent="0.25">
      <c r="A1637">
        <v>31</v>
      </c>
      <c r="B1637">
        <v>16</v>
      </c>
      <c r="C1637" t="s">
        <v>1186</v>
      </c>
      <c r="D1637" s="5">
        <v>0</v>
      </c>
      <c r="E1637" t="s">
        <v>1187</v>
      </c>
    </row>
    <row r="1638" spans="1:5" hidden="1" x14ac:dyDescent="0.25">
      <c r="A1638">
        <v>31</v>
      </c>
      <c r="B1638">
        <v>16</v>
      </c>
      <c r="C1638" t="s">
        <v>39</v>
      </c>
      <c r="D1638" s="4">
        <v>0</v>
      </c>
      <c r="E1638" t="s">
        <v>39</v>
      </c>
    </row>
    <row r="1639" spans="1:5" x14ac:dyDescent="0.25">
      <c r="A1639">
        <v>31</v>
      </c>
      <c r="B1639">
        <v>16</v>
      </c>
      <c r="C1639" t="s">
        <v>1188</v>
      </c>
      <c r="D1639" s="5">
        <v>0</v>
      </c>
      <c r="E1639" t="s">
        <v>1189</v>
      </c>
    </row>
    <row r="1640" spans="1:5" hidden="1" x14ac:dyDescent="0.25">
      <c r="A1640">
        <v>31</v>
      </c>
      <c r="B1640">
        <v>16</v>
      </c>
      <c r="C1640" t="s">
        <v>39</v>
      </c>
      <c r="D1640" s="4">
        <v>0</v>
      </c>
      <c r="E1640" t="s">
        <v>39</v>
      </c>
    </row>
    <row r="1641" spans="1:5" x14ac:dyDescent="0.25">
      <c r="A1641">
        <v>31</v>
      </c>
      <c r="B1641">
        <v>16</v>
      </c>
      <c r="C1641" t="s">
        <v>1190</v>
      </c>
      <c r="D1641" s="5">
        <v>0</v>
      </c>
      <c r="E1641" t="s">
        <v>1191</v>
      </c>
    </row>
    <row r="1642" spans="1:5" hidden="1" x14ac:dyDescent="0.25">
      <c r="A1642">
        <v>31</v>
      </c>
      <c r="B1642">
        <v>16</v>
      </c>
      <c r="C1642" t="s">
        <v>39</v>
      </c>
      <c r="D1642" s="4">
        <v>0</v>
      </c>
      <c r="E1642" t="s">
        <v>39</v>
      </c>
    </row>
    <row r="1643" spans="1:5" hidden="1" x14ac:dyDescent="0.25">
      <c r="A1643">
        <v>31</v>
      </c>
      <c r="B1643">
        <v>20</v>
      </c>
      <c r="C1643" t="s">
        <v>39</v>
      </c>
      <c r="D1643" s="4">
        <v>0</v>
      </c>
      <c r="E1643" t="s">
        <v>39</v>
      </c>
    </row>
    <row r="1644" spans="1:5" x14ac:dyDescent="0.25">
      <c r="A1644">
        <v>31</v>
      </c>
      <c r="B1644">
        <v>20</v>
      </c>
      <c r="C1644" t="s">
        <v>1192</v>
      </c>
      <c r="D1644" s="5">
        <v>0</v>
      </c>
      <c r="E1644" t="s">
        <v>2553</v>
      </c>
    </row>
    <row r="1645" spans="1:5" hidden="1" x14ac:dyDescent="0.25">
      <c r="A1645">
        <v>31</v>
      </c>
      <c r="B1645">
        <v>20</v>
      </c>
      <c r="C1645" t="s">
        <v>39</v>
      </c>
      <c r="D1645" s="4">
        <v>0</v>
      </c>
      <c r="E1645" t="s">
        <v>39</v>
      </c>
    </row>
    <row r="1646" spans="1:5" x14ac:dyDescent="0.25">
      <c r="A1646">
        <v>31</v>
      </c>
      <c r="B1646">
        <v>20</v>
      </c>
      <c r="C1646" t="s">
        <v>1193</v>
      </c>
      <c r="D1646" s="5">
        <v>0</v>
      </c>
      <c r="E1646" t="s">
        <v>2554</v>
      </c>
    </row>
    <row r="1647" spans="1:5" hidden="1" x14ac:dyDescent="0.25">
      <c r="A1647">
        <v>31</v>
      </c>
      <c r="B1647">
        <v>20</v>
      </c>
      <c r="C1647" t="s">
        <v>39</v>
      </c>
      <c r="D1647" s="4">
        <v>0</v>
      </c>
      <c r="E1647" t="s">
        <v>39</v>
      </c>
    </row>
    <row r="1648" spans="1:5" x14ac:dyDescent="0.25">
      <c r="A1648">
        <v>31</v>
      </c>
      <c r="B1648">
        <v>20</v>
      </c>
      <c r="C1648" t="s">
        <v>245</v>
      </c>
      <c r="D1648" s="5">
        <v>0</v>
      </c>
      <c r="E1648" t="s">
        <v>246</v>
      </c>
    </row>
    <row r="1649" spans="1:5" hidden="1" x14ac:dyDescent="0.25">
      <c r="A1649">
        <v>31</v>
      </c>
      <c r="B1649">
        <v>20</v>
      </c>
      <c r="C1649" t="s">
        <v>39</v>
      </c>
      <c r="D1649" s="4">
        <v>0</v>
      </c>
      <c r="E1649" t="s">
        <v>39</v>
      </c>
    </row>
    <row r="1650" spans="1:5" x14ac:dyDescent="0.25">
      <c r="A1650">
        <v>31</v>
      </c>
      <c r="B1650">
        <v>20</v>
      </c>
      <c r="C1650" t="s">
        <v>80</v>
      </c>
      <c r="D1650" s="5">
        <v>60</v>
      </c>
      <c r="E1650" t="s">
        <v>81</v>
      </c>
    </row>
    <row r="1651" spans="1:5" hidden="1" x14ac:dyDescent="0.25">
      <c r="A1651">
        <v>31</v>
      </c>
      <c r="B1651">
        <v>20</v>
      </c>
      <c r="C1651" t="s">
        <v>39</v>
      </c>
      <c r="D1651" s="4">
        <v>0</v>
      </c>
      <c r="E1651" t="s">
        <v>39</v>
      </c>
    </row>
    <row r="1652" spans="1:5" hidden="1" x14ac:dyDescent="0.25">
      <c r="A1652">
        <v>31</v>
      </c>
      <c r="B1652">
        <v>20</v>
      </c>
      <c r="C1652" t="s">
        <v>39</v>
      </c>
      <c r="D1652" s="4">
        <v>0</v>
      </c>
      <c r="E1652" t="s">
        <v>39</v>
      </c>
    </row>
    <row r="1653" spans="1:5" x14ac:dyDescent="0.25">
      <c r="A1653">
        <v>31</v>
      </c>
      <c r="B1653">
        <v>20</v>
      </c>
      <c r="C1653" t="s">
        <v>193</v>
      </c>
      <c r="D1653" s="5">
        <v>70</v>
      </c>
      <c r="E1653" t="s">
        <v>194</v>
      </c>
    </row>
    <row r="1654" spans="1:5" x14ac:dyDescent="0.25">
      <c r="A1654">
        <v>32</v>
      </c>
      <c r="B1654">
        <v>1</v>
      </c>
      <c r="C1654" t="s">
        <v>1194</v>
      </c>
      <c r="D1654" s="5">
        <v>0</v>
      </c>
      <c r="E1654" t="s">
        <v>1195</v>
      </c>
    </row>
    <row r="1655" spans="1:5" hidden="1" x14ac:dyDescent="0.25">
      <c r="A1655">
        <v>32</v>
      </c>
      <c r="B1655">
        <v>1</v>
      </c>
      <c r="C1655" t="s">
        <v>39</v>
      </c>
      <c r="D1655" s="4">
        <v>0</v>
      </c>
      <c r="E1655" t="s">
        <v>39</v>
      </c>
    </row>
    <row r="1656" spans="1:5" x14ac:dyDescent="0.25">
      <c r="A1656">
        <v>32</v>
      </c>
      <c r="B1656">
        <v>1</v>
      </c>
      <c r="C1656" t="s">
        <v>1196</v>
      </c>
      <c r="D1656" s="5">
        <v>0</v>
      </c>
      <c r="E1656" t="s">
        <v>1197</v>
      </c>
    </row>
    <row r="1657" spans="1:5" hidden="1" x14ac:dyDescent="0.25">
      <c r="A1657">
        <v>32</v>
      </c>
      <c r="B1657">
        <v>1</v>
      </c>
      <c r="C1657" t="s">
        <v>39</v>
      </c>
      <c r="D1657" s="4">
        <v>0</v>
      </c>
      <c r="E1657" t="s">
        <v>39</v>
      </c>
    </row>
    <row r="1658" spans="1:5" x14ac:dyDescent="0.25">
      <c r="A1658">
        <v>32</v>
      </c>
      <c r="B1658">
        <v>1</v>
      </c>
      <c r="C1658" t="s">
        <v>2555</v>
      </c>
      <c r="D1658" s="5">
        <v>0</v>
      </c>
      <c r="E1658" t="s">
        <v>2556</v>
      </c>
    </row>
    <row r="1659" spans="1:5" hidden="1" x14ac:dyDescent="0.25">
      <c r="A1659">
        <v>32</v>
      </c>
      <c r="B1659">
        <v>1</v>
      </c>
      <c r="C1659" t="s">
        <v>39</v>
      </c>
      <c r="D1659" s="4">
        <v>0</v>
      </c>
      <c r="E1659" t="s">
        <v>39</v>
      </c>
    </row>
    <row r="1660" spans="1:5" hidden="1" x14ac:dyDescent="0.25">
      <c r="A1660">
        <v>32</v>
      </c>
      <c r="B1660">
        <v>4</v>
      </c>
      <c r="C1660" t="s">
        <v>39</v>
      </c>
      <c r="D1660" s="4">
        <v>0</v>
      </c>
      <c r="E1660" t="s">
        <v>39</v>
      </c>
    </row>
    <row r="1661" spans="1:5" x14ac:dyDescent="0.25">
      <c r="A1661">
        <v>32</v>
      </c>
      <c r="B1661">
        <v>4</v>
      </c>
      <c r="C1661" t="s">
        <v>1198</v>
      </c>
      <c r="D1661" s="5">
        <v>0</v>
      </c>
      <c r="E1661" t="s">
        <v>1199</v>
      </c>
    </row>
    <row r="1662" spans="1:5" hidden="1" x14ac:dyDescent="0.25">
      <c r="A1662">
        <v>32</v>
      </c>
      <c r="B1662">
        <v>4</v>
      </c>
      <c r="C1662" t="s">
        <v>39</v>
      </c>
      <c r="D1662" s="4">
        <v>0</v>
      </c>
      <c r="E1662" t="s">
        <v>39</v>
      </c>
    </row>
    <row r="1663" spans="1:5" x14ac:dyDescent="0.25">
      <c r="A1663">
        <v>32</v>
      </c>
      <c r="B1663">
        <v>4</v>
      </c>
      <c r="C1663" t="s">
        <v>2557</v>
      </c>
      <c r="D1663" s="5">
        <v>0</v>
      </c>
      <c r="E1663" t="s">
        <v>2558</v>
      </c>
    </row>
    <row r="1664" spans="1:5" hidden="1" x14ac:dyDescent="0.25">
      <c r="A1664">
        <v>32</v>
      </c>
      <c r="B1664">
        <v>4</v>
      </c>
      <c r="C1664" t="s">
        <v>39</v>
      </c>
      <c r="D1664" s="4">
        <v>0</v>
      </c>
      <c r="E1664" t="s">
        <v>39</v>
      </c>
    </row>
    <row r="1665" spans="1:5" x14ac:dyDescent="0.25">
      <c r="A1665">
        <v>32</v>
      </c>
      <c r="B1665">
        <v>4</v>
      </c>
      <c r="C1665" t="s">
        <v>1200</v>
      </c>
      <c r="D1665" s="5">
        <v>0</v>
      </c>
      <c r="E1665" t="s">
        <v>1201</v>
      </c>
    </row>
    <row r="1666" spans="1:5" hidden="1" x14ac:dyDescent="0.25">
      <c r="A1666">
        <v>32</v>
      </c>
      <c r="B1666">
        <v>4</v>
      </c>
      <c r="C1666" t="s">
        <v>39</v>
      </c>
      <c r="D1666" s="4">
        <v>0</v>
      </c>
      <c r="E1666" t="s">
        <v>39</v>
      </c>
    </row>
    <row r="1667" spans="1:5" hidden="1" x14ac:dyDescent="0.25">
      <c r="A1667">
        <v>32</v>
      </c>
      <c r="B1667">
        <v>7</v>
      </c>
      <c r="C1667" t="s">
        <v>39</v>
      </c>
      <c r="D1667" s="4">
        <v>0</v>
      </c>
      <c r="E1667" t="s">
        <v>39</v>
      </c>
    </row>
    <row r="1668" spans="1:5" x14ac:dyDescent="0.25">
      <c r="A1668">
        <v>32</v>
      </c>
      <c r="B1668">
        <v>7</v>
      </c>
      <c r="C1668" t="s">
        <v>1202</v>
      </c>
      <c r="D1668" s="5">
        <v>0</v>
      </c>
      <c r="E1668" t="s">
        <v>1203</v>
      </c>
    </row>
    <row r="1669" spans="1:5" hidden="1" x14ac:dyDescent="0.25">
      <c r="A1669">
        <v>32</v>
      </c>
      <c r="B1669">
        <v>7</v>
      </c>
      <c r="C1669" t="s">
        <v>39</v>
      </c>
      <c r="D1669" s="4">
        <v>0</v>
      </c>
      <c r="E1669" t="s">
        <v>39</v>
      </c>
    </row>
    <row r="1670" spans="1:5" x14ac:dyDescent="0.25">
      <c r="A1670">
        <v>32</v>
      </c>
      <c r="B1670">
        <v>7</v>
      </c>
      <c r="C1670" t="s">
        <v>2559</v>
      </c>
      <c r="D1670" s="5">
        <v>0</v>
      </c>
      <c r="E1670" t="s">
        <v>1204</v>
      </c>
    </row>
    <row r="1671" spans="1:5" hidden="1" x14ac:dyDescent="0.25">
      <c r="A1671">
        <v>32</v>
      </c>
      <c r="B1671">
        <v>7</v>
      </c>
      <c r="C1671" t="s">
        <v>39</v>
      </c>
      <c r="D1671" s="4">
        <v>0</v>
      </c>
      <c r="E1671" t="s">
        <v>39</v>
      </c>
    </row>
    <row r="1672" spans="1:5" x14ac:dyDescent="0.25">
      <c r="A1672">
        <v>32</v>
      </c>
      <c r="B1672">
        <v>7</v>
      </c>
      <c r="C1672" t="s">
        <v>1205</v>
      </c>
      <c r="D1672" s="5">
        <v>0</v>
      </c>
      <c r="E1672" t="s">
        <v>1206</v>
      </c>
    </row>
    <row r="1673" spans="1:5" hidden="1" x14ac:dyDescent="0.25">
      <c r="A1673">
        <v>32</v>
      </c>
      <c r="B1673">
        <v>7</v>
      </c>
      <c r="C1673" t="s">
        <v>39</v>
      </c>
      <c r="D1673" s="4">
        <v>0</v>
      </c>
      <c r="E1673" t="s">
        <v>39</v>
      </c>
    </row>
    <row r="1674" spans="1:5" x14ac:dyDescent="0.25">
      <c r="A1674">
        <v>32</v>
      </c>
      <c r="B1674">
        <v>7</v>
      </c>
      <c r="C1674" t="s">
        <v>1207</v>
      </c>
      <c r="D1674" s="5">
        <v>0</v>
      </c>
      <c r="E1674" t="s">
        <v>2560</v>
      </c>
    </row>
    <row r="1675" spans="1:5" hidden="1" x14ac:dyDescent="0.25">
      <c r="A1675">
        <v>32</v>
      </c>
      <c r="B1675">
        <v>7</v>
      </c>
      <c r="C1675" t="s">
        <v>39</v>
      </c>
      <c r="D1675" s="4">
        <v>0</v>
      </c>
      <c r="E1675" t="s">
        <v>39</v>
      </c>
    </row>
    <row r="1676" spans="1:5" hidden="1" x14ac:dyDescent="0.25">
      <c r="A1676">
        <v>32</v>
      </c>
      <c r="B1676">
        <v>10</v>
      </c>
      <c r="C1676" t="s">
        <v>39</v>
      </c>
      <c r="D1676" s="4">
        <v>0</v>
      </c>
      <c r="E1676" t="s">
        <v>39</v>
      </c>
    </row>
    <row r="1677" spans="1:5" x14ac:dyDescent="0.25">
      <c r="A1677">
        <v>32</v>
      </c>
      <c r="B1677">
        <v>10</v>
      </c>
      <c r="C1677" t="s">
        <v>1208</v>
      </c>
      <c r="D1677" s="5">
        <v>0</v>
      </c>
      <c r="E1677" t="s">
        <v>1209</v>
      </c>
    </row>
    <row r="1678" spans="1:5" hidden="1" x14ac:dyDescent="0.25">
      <c r="A1678">
        <v>32</v>
      </c>
      <c r="B1678">
        <v>10</v>
      </c>
      <c r="C1678" t="s">
        <v>39</v>
      </c>
      <c r="D1678" s="4">
        <v>0</v>
      </c>
      <c r="E1678" t="s">
        <v>39</v>
      </c>
    </row>
    <row r="1679" spans="1:5" x14ac:dyDescent="0.25">
      <c r="A1679">
        <v>32</v>
      </c>
      <c r="B1679">
        <v>10</v>
      </c>
      <c r="C1679" t="s">
        <v>1210</v>
      </c>
      <c r="D1679" s="5">
        <v>0</v>
      </c>
      <c r="E1679" t="s">
        <v>1211</v>
      </c>
    </row>
    <row r="1680" spans="1:5" hidden="1" x14ac:dyDescent="0.25">
      <c r="A1680">
        <v>32</v>
      </c>
      <c r="B1680">
        <v>10</v>
      </c>
      <c r="C1680" t="s">
        <v>39</v>
      </c>
      <c r="D1680" s="4">
        <v>0</v>
      </c>
      <c r="E1680" t="s">
        <v>39</v>
      </c>
    </row>
    <row r="1681" spans="1:5" hidden="1" x14ac:dyDescent="0.25">
      <c r="A1681">
        <v>32</v>
      </c>
      <c r="B1681">
        <v>13</v>
      </c>
      <c r="C1681" t="s">
        <v>39</v>
      </c>
      <c r="D1681" s="4">
        <v>0</v>
      </c>
      <c r="E1681" t="s">
        <v>39</v>
      </c>
    </row>
    <row r="1682" spans="1:5" x14ac:dyDescent="0.25">
      <c r="A1682">
        <v>32</v>
      </c>
      <c r="B1682">
        <v>13</v>
      </c>
      <c r="C1682" t="s">
        <v>1212</v>
      </c>
      <c r="D1682" s="5">
        <v>0</v>
      </c>
      <c r="E1682" t="s">
        <v>1213</v>
      </c>
    </row>
    <row r="1683" spans="1:5" hidden="1" x14ac:dyDescent="0.25">
      <c r="A1683">
        <v>32</v>
      </c>
      <c r="B1683">
        <v>13</v>
      </c>
      <c r="C1683" t="s">
        <v>39</v>
      </c>
      <c r="D1683" s="4">
        <v>0</v>
      </c>
      <c r="E1683" t="s">
        <v>39</v>
      </c>
    </row>
    <row r="1684" spans="1:5" x14ac:dyDescent="0.25">
      <c r="A1684">
        <v>32</v>
      </c>
      <c r="B1684">
        <v>13</v>
      </c>
      <c r="C1684" t="s">
        <v>1214</v>
      </c>
      <c r="D1684" s="5">
        <v>0</v>
      </c>
      <c r="E1684" t="s">
        <v>1215</v>
      </c>
    </row>
    <row r="1685" spans="1:5" hidden="1" x14ac:dyDescent="0.25">
      <c r="A1685">
        <v>32</v>
      </c>
      <c r="B1685">
        <v>13</v>
      </c>
      <c r="C1685" t="s">
        <v>39</v>
      </c>
      <c r="D1685" s="4">
        <v>0</v>
      </c>
      <c r="E1685" t="s">
        <v>39</v>
      </c>
    </row>
    <row r="1686" spans="1:5" x14ac:dyDescent="0.25">
      <c r="A1686">
        <v>32</v>
      </c>
      <c r="B1686">
        <v>13</v>
      </c>
      <c r="C1686" t="s">
        <v>1216</v>
      </c>
      <c r="D1686" s="5">
        <v>0</v>
      </c>
      <c r="E1686" t="s">
        <v>2561</v>
      </c>
    </row>
    <row r="1687" spans="1:5" hidden="1" x14ac:dyDescent="0.25">
      <c r="A1687">
        <v>32</v>
      </c>
      <c r="B1687">
        <v>13</v>
      </c>
      <c r="C1687" t="s">
        <v>39</v>
      </c>
      <c r="D1687" s="4">
        <v>0</v>
      </c>
      <c r="E1687" t="s">
        <v>39</v>
      </c>
    </row>
    <row r="1688" spans="1:5" hidden="1" x14ac:dyDescent="0.25">
      <c r="A1688">
        <v>32</v>
      </c>
      <c r="B1688">
        <v>16</v>
      </c>
      <c r="C1688" t="s">
        <v>39</v>
      </c>
      <c r="D1688" s="4">
        <v>0</v>
      </c>
      <c r="E1688" t="s">
        <v>39</v>
      </c>
    </row>
    <row r="1689" spans="1:5" x14ac:dyDescent="0.25">
      <c r="A1689">
        <v>32</v>
      </c>
      <c r="B1689">
        <v>16</v>
      </c>
      <c r="C1689" t="s">
        <v>1217</v>
      </c>
      <c r="D1689" s="5">
        <v>0</v>
      </c>
      <c r="E1689" t="s">
        <v>1218</v>
      </c>
    </row>
    <row r="1690" spans="1:5" hidden="1" x14ac:dyDescent="0.25">
      <c r="A1690">
        <v>32</v>
      </c>
      <c r="B1690">
        <v>16</v>
      </c>
      <c r="C1690" t="s">
        <v>39</v>
      </c>
      <c r="D1690" s="4">
        <v>0</v>
      </c>
      <c r="E1690" t="s">
        <v>39</v>
      </c>
    </row>
    <row r="1691" spans="1:5" x14ac:dyDescent="0.25">
      <c r="A1691">
        <v>32</v>
      </c>
      <c r="B1691">
        <v>16</v>
      </c>
      <c r="C1691" t="s">
        <v>1219</v>
      </c>
      <c r="D1691" s="5">
        <v>0</v>
      </c>
      <c r="E1691" t="s">
        <v>1220</v>
      </c>
    </row>
    <row r="1692" spans="1:5" hidden="1" x14ac:dyDescent="0.25">
      <c r="A1692">
        <v>32</v>
      </c>
      <c r="B1692">
        <v>16</v>
      </c>
      <c r="C1692" t="s">
        <v>39</v>
      </c>
      <c r="D1692" s="4">
        <v>0</v>
      </c>
      <c r="E1692" t="s">
        <v>39</v>
      </c>
    </row>
    <row r="1693" spans="1:5" x14ac:dyDescent="0.25">
      <c r="A1693">
        <v>32</v>
      </c>
      <c r="B1693">
        <v>16</v>
      </c>
      <c r="C1693" t="s">
        <v>1221</v>
      </c>
      <c r="D1693" s="5">
        <v>0</v>
      </c>
      <c r="E1693" t="s">
        <v>1222</v>
      </c>
    </row>
    <row r="1694" spans="1:5" hidden="1" x14ac:dyDescent="0.25">
      <c r="A1694">
        <v>32</v>
      </c>
      <c r="B1694">
        <v>16</v>
      </c>
      <c r="C1694" t="s">
        <v>39</v>
      </c>
      <c r="D1694" s="4">
        <v>0</v>
      </c>
      <c r="E1694" t="s">
        <v>39</v>
      </c>
    </row>
    <row r="1695" spans="1:5" hidden="1" x14ac:dyDescent="0.25">
      <c r="A1695">
        <v>32</v>
      </c>
      <c r="B1695">
        <v>20</v>
      </c>
      <c r="C1695" t="s">
        <v>39</v>
      </c>
      <c r="D1695" s="4">
        <v>0</v>
      </c>
      <c r="E1695" t="s">
        <v>39</v>
      </c>
    </row>
    <row r="1696" spans="1:5" x14ac:dyDescent="0.25">
      <c r="A1696">
        <v>32</v>
      </c>
      <c r="B1696">
        <v>20</v>
      </c>
      <c r="C1696" t="s">
        <v>1223</v>
      </c>
      <c r="D1696" s="5">
        <v>0</v>
      </c>
      <c r="E1696" t="s">
        <v>1224</v>
      </c>
    </row>
    <row r="1697" spans="1:5" hidden="1" x14ac:dyDescent="0.25">
      <c r="A1697">
        <v>32</v>
      </c>
      <c r="B1697">
        <v>20</v>
      </c>
      <c r="C1697" t="s">
        <v>39</v>
      </c>
      <c r="D1697" s="4">
        <v>0</v>
      </c>
      <c r="E1697" t="s">
        <v>39</v>
      </c>
    </row>
    <row r="1698" spans="1:5" x14ac:dyDescent="0.25">
      <c r="A1698">
        <v>32</v>
      </c>
      <c r="B1698">
        <v>20</v>
      </c>
      <c r="C1698" t="s">
        <v>1225</v>
      </c>
      <c r="D1698" s="5">
        <v>0</v>
      </c>
      <c r="E1698" t="s">
        <v>2562</v>
      </c>
    </row>
    <row r="1699" spans="1:5" hidden="1" x14ac:dyDescent="0.25">
      <c r="A1699">
        <v>32</v>
      </c>
      <c r="B1699">
        <v>20</v>
      </c>
      <c r="C1699" t="s">
        <v>39</v>
      </c>
      <c r="D1699" s="4">
        <v>0</v>
      </c>
      <c r="E1699" t="s">
        <v>39</v>
      </c>
    </row>
    <row r="1700" spans="1:5" x14ac:dyDescent="0.25">
      <c r="A1700">
        <v>32</v>
      </c>
      <c r="B1700">
        <v>20</v>
      </c>
      <c r="C1700" t="s">
        <v>1226</v>
      </c>
      <c r="D1700" s="5">
        <v>0</v>
      </c>
      <c r="E1700" t="s">
        <v>1227</v>
      </c>
    </row>
    <row r="1701" spans="1:5" hidden="1" x14ac:dyDescent="0.25">
      <c r="A1701">
        <v>32</v>
      </c>
      <c r="B1701">
        <v>20</v>
      </c>
      <c r="C1701" t="s">
        <v>39</v>
      </c>
      <c r="D1701" s="4">
        <v>0</v>
      </c>
      <c r="E1701" t="s">
        <v>39</v>
      </c>
    </row>
    <row r="1702" spans="1:5" x14ac:dyDescent="0.25">
      <c r="A1702">
        <v>32</v>
      </c>
      <c r="B1702">
        <v>20</v>
      </c>
      <c r="C1702" t="s">
        <v>1228</v>
      </c>
      <c r="D1702" s="5">
        <v>0</v>
      </c>
      <c r="E1702" t="s">
        <v>1229</v>
      </c>
    </row>
    <row r="1703" spans="1:5" hidden="1" x14ac:dyDescent="0.25">
      <c r="A1703">
        <v>32</v>
      </c>
      <c r="B1703">
        <v>20</v>
      </c>
      <c r="C1703" t="s">
        <v>39</v>
      </c>
      <c r="D1703" s="4">
        <v>0</v>
      </c>
      <c r="E1703" t="s">
        <v>39</v>
      </c>
    </row>
    <row r="1704" spans="1:5" x14ac:dyDescent="0.25">
      <c r="A1704">
        <v>32</v>
      </c>
      <c r="B1704">
        <v>20</v>
      </c>
      <c r="C1704" t="s">
        <v>1230</v>
      </c>
      <c r="D1704" s="5">
        <v>0</v>
      </c>
      <c r="E1704" t="s">
        <v>1231</v>
      </c>
    </row>
    <row r="1705" spans="1:5" x14ac:dyDescent="0.25">
      <c r="A1705">
        <v>33</v>
      </c>
      <c r="B1705">
        <v>1</v>
      </c>
      <c r="C1705" t="s">
        <v>122</v>
      </c>
      <c r="D1705" s="5">
        <v>0</v>
      </c>
      <c r="E1705" t="s">
        <v>123</v>
      </c>
    </row>
    <row r="1706" spans="1:5" hidden="1" x14ac:dyDescent="0.25">
      <c r="A1706">
        <v>33</v>
      </c>
      <c r="B1706">
        <v>1</v>
      </c>
      <c r="C1706" t="s">
        <v>39</v>
      </c>
      <c r="D1706" s="4">
        <v>0</v>
      </c>
      <c r="E1706" t="s">
        <v>39</v>
      </c>
    </row>
    <row r="1707" spans="1:5" x14ac:dyDescent="0.25">
      <c r="A1707">
        <v>33</v>
      </c>
      <c r="B1707">
        <v>1</v>
      </c>
      <c r="C1707" t="s">
        <v>1232</v>
      </c>
      <c r="D1707" s="5">
        <v>0</v>
      </c>
      <c r="E1707" t="s">
        <v>2563</v>
      </c>
    </row>
    <row r="1708" spans="1:5" hidden="1" x14ac:dyDescent="0.25">
      <c r="A1708">
        <v>33</v>
      </c>
      <c r="B1708">
        <v>1</v>
      </c>
      <c r="C1708" t="s">
        <v>39</v>
      </c>
      <c r="D1708" s="4">
        <v>0</v>
      </c>
      <c r="E1708" t="s">
        <v>39</v>
      </c>
    </row>
    <row r="1709" spans="1:5" x14ac:dyDescent="0.25">
      <c r="A1709">
        <v>33</v>
      </c>
      <c r="B1709">
        <v>1</v>
      </c>
      <c r="C1709" t="s">
        <v>1233</v>
      </c>
      <c r="D1709" s="5">
        <v>0</v>
      </c>
      <c r="E1709" t="s">
        <v>1234</v>
      </c>
    </row>
    <row r="1710" spans="1:5" hidden="1" x14ac:dyDescent="0.25">
      <c r="A1710">
        <v>33</v>
      </c>
      <c r="B1710">
        <v>1</v>
      </c>
      <c r="C1710" t="s">
        <v>39</v>
      </c>
      <c r="D1710" s="4">
        <v>0</v>
      </c>
      <c r="E1710" t="s">
        <v>39</v>
      </c>
    </row>
    <row r="1711" spans="1:5" hidden="1" x14ac:dyDescent="0.25">
      <c r="A1711">
        <v>33</v>
      </c>
      <c r="B1711">
        <v>4</v>
      </c>
      <c r="C1711" t="s">
        <v>39</v>
      </c>
      <c r="D1711" s="4">
        <v>0</v>
      </c>
      <c r="E1711" t="s">
        <v>39</v>
      </c>
    </row>
    <row r="1712" spans="1:5" x14ac:dyDescent="0.25">
      <c r="A1712">
        <v>33</v>
      </c>
      <c r="B1712">
        <v>4</v>
      </c>
      <c r="C1712" t="s">
        <v>1235</v>
      </c>
      <c r="D1712" s="5">
        <v>0</v>
      </c>
      <c r="E1712" t="s">
        <v>1236</v>
      </c>
    </row>
    <row r="1713" spans="1:5" hidden="1" x14ac:dyDescent="0.25">
      <c r="A1713">
        <v>33</v>
      </c>
      <c r="B1713">
        <v>4</v>
      </c>
      <c r="C1713" t="s">
        <v>39</v>
      </c>
      <c r="D1713" s="4">
        <v>0</v>
      </c>
      <c r="E1713" t="s">
        <v>39</v>
      </c>
    </row>
    <row r="1714" spans="1:5" x14ac:dyDescent="0.25">
      <c r="A1714">
        <v>33</v>
      </c>
      <c r="B1714">
        <v>4</v>
      </c>
      <c r="C1714" t="s">
        <v>1237</v>
      </c>
      <c r="D1714" s="5">
        <v>0</v>
      </c>
      <c r="E1714" t="s">
        <v>1238</v>
      </c>
    </row>
    <row r="1715" spans="1:5" hidden="1" x14ac:dyDescent="0.25">
      <c r="A1715">
        <v>33</v>
      </c>
      <c r="B1715">
        <v>4</v>
      </c>
      <c r="C1715" t="s">
        <v>39</v>
      </c>
      <c r="D1715" s="4">
        <v>0</v>
      </c>
      <c r="E1715" t="s">
        <v>39</v>
      </c>
    </row>
    <row r="1716" spans="1:5" x14ac:dyDescent="0.25">
      <c r="A1716">
        <v>33</v>
      </c>
      <c r="B1716">
        <v>4</v>
      </c>
      <c r="C1716" t="s">
        <v>1239</v>
      </c>
      <c r="D1716" s="5">
        <v>0</v>
      </c>
      <c r="E1716" t="s">
        <v>1240</v>
      </c>
    </row>
    <row r="1717" spans="1:5" hidden="1" x14ac:dyDescent="0.25">
      <c r="A1717">
        <v>33</v>
      </c>
      <c r="B1717">
        <v>4</v>
      </c>
      <c r="C1717" t="s">
        <v>39</v>
      </c>
      <c r="D1717" s="4">
        <v>0</v>
      </c>
      <c r="E1717" t="s">
        <v>39</v>
      </c>
    </row>
    <row r="1718" spans="1:5" x14ac:dyDescent="0.25">
      <c r="A1718">
        <v>33</v>
      </c>
      <c r="B1718">
        <v>4</v>
      </c>
      <c r="C1718" t="s">
        <v>1241</v>
      </c>
      <c r="D1718" s="5">
        <v>0</v>
      </c>
      <c r="E1718" t="s">
        <v>1242</v>
      </c>
    </row>
    <row r="1719" spans="1:5" hidden="1" x14ac:dyDescent="0.25">
      <c r="A1719">
        <v>33</v>
      </c>
      <c r="B1719">
        <v>4</v>
      </c>
      <c r="C1719" t="s">
        <v>39</v>
      </c>
      <c r="D1719" s="4">
        <v>0</v>
      </c>
      <c r="E1719" t="s">
        <v>39</v>
      </c>
    </row>
    <row r="1720" spans="1:5" hidden="1" x14ac:dyDescent="0.25">
      <c r="A1720">
        <v>33</v>
      </c>
      <c r="B1720">
        <v>7</v>
      </c>
      <c r="C1720" t="s">
        <v>39</v>
      </c>
      <c r="D1720" s="4">
        <v>0</v>
      </c>
      <c r="E1720" t="s">
        <v>39</v>
      </c>
    </row>
    <row r="1721" spans="1:5" x14ac:dyDescent="0.25">
      <c r="A1721">
        <v>33</v>
      </c>
      <c r="B1721">
        <v>7</v>
      </c>
      <c r="C1721" t="s">
        <v>1243</v>
      </c>
      <c r="D1721" s="5">
        <v>0</v>
      </c>
      <c r="E1721" t="s">
        <v>1244</v>
      </c>
    </row>
    <row r="1722" spans="1:5" hidden="1" x14ac:dyDescent="0.25">
      <c r="A1722">
        <v>33</v>
      </c>
      <c r="B1722">
        <v>7</v>
      </c>
      <c r="C1722" t="s">
        <v>39</v>
      </c>
      <c r="D1722" s="4">
        <v>0</v>
      </c>
      <c r="E1722" t="s">
        <v>39</v>
      </c>
    </row>
    <row r="1723" spans="1:5" x14ac:dyDescent="0.25">
      <c r="A1723">
        <v>33</v>
      </c>
      <c r="B1723">
        <v>7</v>
      </c>
      <c r="C1723" t="s">
        <v>1245</v>
      </c>
      <c r="D1723" s="5">
        <v>0</v>
      </c>
      <c r="E1723" t="s">
        <v>1246</v>
      </c>
    </row>
    <row r="1724" spans="1:5" hidden="1" x14ac:dyDescent="0.25">
      <c r="A1724">
        <v>33</v>
      </c>
      <c r="B1724">
        <v>7</v>
      </c>
      <c r="C1724" t="s">
        <v>39</v>
      </c>
      <c r="D1724" s="4">
        <v>0</v>
      </c>
      <c r="E1724" t="s">
        <v>39</v>
      </c>
    </row>
    <row r="1725" spans="1:5" x14ac:dyDescent="0.25">
      <c r="A1725">
        <v>33</v>
      </c>
      <c r="B1725">
        <v>7</v>
      </c>
      <c r="C1725" t="s">
        <v>1247</v>
      </c>
      <c r="D1725" s="5">
        <v>0</v>
      </c>
      <c r="E1725" t="s">
        <v>1248</v>
      </c>
    </row>
    <row r="1726" spans="1:5" hidden="1" x14ac:dyDescent="0.25">
      <c r="A1726">
        <v>33</v>
      </c>
      <c r="B1726">
        <v>7</v>
      </c>
      <c r="C1726" t="s">
        <v>39</v>
      </c>
      <c r="D1726" s="4">
        <v>0</v>
      </c>
      <c r="E1726" t="s">
        <v>39</v>
      </c>
    </row>
    <row r="1727" spans="1:5" x14ac:dyDescent="0.25">
      <c r="A1727">
        <v>33</v>
      </c>
      <c r="B1727">
        <v>7</v>
      </c>
      <c r="C1727" t="s">
        <v>1249</v>
      </c>
      <c r="D1727" s="5">
        <v>0</v>
      </c>
      <c r="E1727" t="s">
        <v>1250</v>
      </c>
    </row>
    <row r="1728" spans="1:5" hidden="1" x14ac:dyDescent="0.25">
      <c r="A1728">
        <v>33</v>
      </c>
      <c r="B1728">
        <v>7</v>
      </c>
      <c r="C1728" t="s">
        <v>39</v>
      </c>
      <c r="D1728" s="4">
        <v>0</v>
      </c>
      <c r="E1728" t="s">
        <v>39</v>
      </c>
    </row>
    <row r="1729" spans="1:5" hidden="1" x14ac:dyDescent="0.25">
      <c r="A1729">
        <v>33</v>
      </c>
      <c r="B1729">
        <v>10</v>
      </c>
      <c r="C1729" t="s">
        <v>39</v>
      </c>
      <c r="D1729" s="4">
        <v>0</v>
      </c>
      <c r="E1729" t="s">
        <v>39</v>
      </c>
    </row>
    <row r="1730" spans="1:5" x14ac:dyDescent="0.25">
      <c r="A1730">
        <v>33</v>
      </c>
      <c r="B1730">
        <v>10</v>
      </c>
      <c r="C1730" t="s">
        <v>1251</v>
      </c>
      <c r="D1730" s="5">
        <v>90</v>
      </c>
      <c r="E1730" t="s">
        <v>1252</v>
      </c>
    </row>
    <row r="1731" spans="1:5" hidden="1" x14ac:dyDescent="0.25">
      <c r="A1731">
        <v>33</v>
      </c>
      <c r="B1731">
        <v>10</v>
      </c>
      <c r="C1731" t="s">
        <v>39</v>
      </c>
      <c r="D1731" s="4">
        <v>0</v>
      </c>
      <c r="E1731" t="s">
        <v>39</v>
      </c>
    </row>
    <row r="1732" spans="1:5" hidden="1" x14ac:dyDescent="0.25">
      <c r="A1732">
        <v>33</v>
      </c>
      <c r="B1732">
        <v>10</v>
      </c>
      <c r="C1732" t="s">
        <v>39</v>
      </c>
      <c r="D1732" s="4">
        <v>0</v>
      </c>
      <c r="E1732" t="s">
        <v>39</v>
      </c>
    </row>
    <row r="1733" spans="1:5" x14ac:dyDescent="0.25">
      <c r="A1733">
        <v>33</v>
      </c>
      <c r="B1733">
        <v>10</v>
      </c>
      <c r="C1733" t="s">
        <v>1253</v>
      </c>
      <c r="D1733" s="5">
        <v>40</v>
      </c>
      <c r="E1733" t="s">
        <v>1254</v>
      </c>
    </row>
    <row r="1734" spans="1:5" hidden="1" x14ac:dyDescent="0.25">
      <c r="A1734">
        <v>33</v>
      </c>
      <c r="B1734">
        <v>10</v>
      </c>
      <c r="C1734" t="s">
        <v>39</v>
      </c>
      <c r="D1734" s="4">
        <v>0</v>
      </c>
      <c r="E1734" t="s">
        <v>39</v>
      </c>
    </row>
    <row r="1735" spans="1:5" hidden="1" x14ac:dyDescent="0.25">
      <c r="A1735">
        <v>33</v>
      </c>
      <c r="B1735">
        <v>10</v>
      </c>
      <c r="C1735" t="s">
        <v>39</v>
      </c>
      <c r="D1735" s="4">
        <v>0</v>
      </c>
      <c r="E1735" t="s">
        <v>39</v>
      </c>
    </row>
    <row r="1736" spans="1:5" hidden="1" x14ac:dyDescent="0.25">
      <c r="A1736">
        <v>33</v>
      </c>
      <c r="B1736">
        <v>13</v>
      </c>
      <c r="C1736" t="s">
        <v>39</v>
      </c>
      <c r="D1736" s="4">
        <v>0</v>
      </c>
      <c r="E1736" t="s">
        <v>39</v>
      </c>
    </row>
    <row r="1737" spans="1:5" x14ac:dyDescent="0.25">
      <c r="A1737">
        <v>33</v>
      </c>
      <c r="B1737">
        <v>13</v>
      </c>
      <c r="C1737" t="s">
        <v>66</v>
      </c>
      <c r="D1737" s="5">
        <v>0</v>
      </c>
      <c r="E1737" t="s">
        <v>67</v>
      </c>
    </row>
    <row r="1738" spans="1:5" hidden="1" x14ac:dyDescent="0.25">
      <c r="A1738">
        <v>33</v>
      </c>
      <c r="B1738">
        <v>13</v>
      </c>
      <c r="C1738" t="s">
        <v>39</v>
      </c>
      <c r="D1738" s="4">
        <v>0</v>
      </c>
      <c r="E1738" t="s">
        <v>39</v>
      </c>
    </row>
    <row r="1739" spans="1:5" x14ac:dyDescent="0.25">
      <c r="A1739">
        <v>33</v>
      </c>
      <c r="B1739">
        <v>13</v>
      </c>
      <c r="C1739" t="s">
        <v>1255</v>
      </c>
      <c r="D1739" s="5">
        <v>0</v>
      </c>
      <c r="E1739" t="s">
        <v>1256</v>
      </c>
    </row>
    <row r="1740" spans="1:5" hidden="1" x14ac:dyDescent="0.25">
      <c r="A1740">
        <v>33</v>
      </c>
      <c r="B1740">
        <v>13</v>
      </c>
      <c r="C1740" t="s">
        <v>39</v>
      </c>
      <c r="D1740" s="4">
        <v>0</v>
      </c>
      <c r="E1740" t="s">
        <v>39</v>
      </c>
    </row>
    <row r="1741" spans="1:5" x14ac:dyDescent="0.25">
      <c r="A1741">
        <v>33</v>
      </c>
      <c r="B1741">
        <v>13</v>
      </c>
      <c r="C1741" t="s">
        <v>1257</v>
      </c>
      <c r="D1741" s="5">
        <v>0</v>
      </c>
      <c r="E1741" t="s">
        <v>1258</v>
      </c>
    </row>
    <row r="1742" spans="1:5" hidden="1" x14ac:dyDescent="0.25">
      <c r="A1742">
        <v>33</v>
      </c>
      <c r="B1742">
        <v>13</v>
      </c>
      <c r="C1742" t="s">
        <v>39</v>
      </c>
      <c r="D1742" s="4">
        <v>0</v>
      </c>
      <c r="E1742" t="s">
        <v>39</v>
      </c>
    </row>
    <row r="1743" spans="1:5" x14ac:dyDescent="0.25">
      <c r="A1743">
        <v>33</v>
      </c>
      <c r="B1743">
        <v>13</v>
      </c>
      <c r="C1743" t="s">
        <v>812</v>
      </c>
      <c r="D1743" s="5">
        <v>0</v>
      </c>
      <c r="E1743" t="s">
        <v>813</v>
      </c>
    </row>
    <row r="1744" spans="1:5" hidden="1" x14ac:dyDescent="0.25">
      <c r="A1744">
        <v>33</v>
      </c>
      <c r="B1744">
        <v>13</v>
      </c>
      <c r="C1744" t="s">
        <v>39</v>
      </c>
      <c r="D1744" s="4">
        <v>0</v>
      </c>
      <c r="E1744" t="s">
        <v>39</v>
      </c>
    </row>
    <row r="1745" spans="1:5" hidden="1" x14ac:dyDescent="0.25">
      <c r="A1745">
        <v>33</v>
      </c>
      <c r="B1745">
        <v>16</v>
      </c>
      <c r="C1745" t="s">
        <v>39</v>
      </c>
      <c r="D1745" s="4">
        <v>0</v>
      </c>
      <c r="E1745" t="s">
        <v>39</v>
      </c>
    </row>
    <row r="1746" spans="1:5" x14ac:dyDescent="0.25">
      <c r="A1746">
        <v>33</v>
      </c>
      <c r="B1746">
        <v>16</v>
      </c>
      <c r="C1746" t="s">
        <v>1259</v>
      </c>
      <c r="D1746" s="5">
        <v>0</v>
      </c>
      <c r="E1746" t="s">
        <v>1260</v>
      </c>
    </row>
    <row r="1747" spans="1:5" hidden="1" x14ac:dyDescent="0.25">
      <c r="A1747">
        <v>33</v>
      </c>
      <c r="B1747">
        <v>16</v>
      </c>
      <c r="C1747" t="s">
        <v>39</v>
      </c>
      <c r="D1747" s="4">
        <v>0</v>
      </c>
      <c r="E1747" t="s">
        <v>39</v>
      </c>
    </row>
    <row r="1748" spans="1:5" x14ac:dyDescent="0.25">
      <c r="A1748">
        <v>33</v>
      </c>
      <c r="B1748">
        <v>16</v>
      </c>
      <c r="C1748" t="s">
        <v>1261</v>
      </c>
      <c r="D1748" s="5">
        <v>0</v>
      </c>
      <c r="E1748" t="s">
        <v>1262</v>
      </c>
    </row>
    <row r="1749" spans="1:5" hidden="1" x14ac:dyDescent="0.25">
      <c r="A1749">
        <v>33</v>
      </c>
      <c r="B1749">
        <v>16</v>
      </c>
      <c r="C1749" t="s">
        <v>39</v>
      </c>
      <c r="D1749" s="4">
        <v>0</v>
      </c>
      <c r="E1749" t="s">
        <v>39</v>
      </c>
    </row>
    <row r="1750" spans="1:5" x14ac:dyDescent="0.25">
      <c r="A1750">
        <v>33</v>
      </c>
      <c r="B1750">
        <v>16</v>
      </c>
      <c r="C1750" t="s">
        <v>2564</v>
      </c>
      <c r="D1750" s="5">
        <v>0</v>
      </c>
      <c r="E1750" t="s">
        <v>1263</v>
      </c>
    </row>
    <row r="1751" spans="1:5" hidden="1" x14ac:dyDescent="0.25">
      <c r="A1751">
        <v>33</v>
      </c>
      <c r="B1751">
        <v>16</v>
      </c>
      <c r="C1751" t="s">
        <v>39</v>
      </c>
      <c r="D1751" s="4">
        <v>0</v>
      </c>
      <c r="E1751" t="s">
        <v>39</v>
      </c>
    </row>
    <row r="1752" spans="1:5" x14ac:dyDescent="0.25">
      <c r="A1752">
        <v>33</v>
      </c>
      <c r="B1752">
        <v>16</v>
      </c>
      <c r="C1752" t="s">
        <v>509</v>
      </c>
      <c r="D1752" s="5">
        <v>20</v>
      </c>
      <c r="E1752" t="s">
        <v>1264</v>
      </c>
    </row>
    <row r="1753" spans="1:5" hidden="1" x14ac:dyDescent="0.25">
      <c r="A1753">
        <v>33</v>
      </c>
      <c r="B1753">
        <v>16</v>
      </c>
      <c r="C1753" t="s">
        <v>39</v>
      </c>
      <c r="D1753" s="4">
        <v>0</v>
      </c>
      <c r="E1753" t="s">
        <v>39</v>
      </c>
    </row>
    <row r="1754" spans="1:5" hidden="1" x14ac:dyDescent="0.25">
      <c r="A1754">
        <v>33</v>
      </c>
      <c r="B1754">
        <v>16</v>
      </c>
      <c r="C1754" t="s">
        <v>39</v>
      </c>
      <c r="D1754" s="4">
        <v>0</v>
      </c>
      <c r="E1754" t="s">
        <v>39</v>
      </c>
    </row>
    <row r="1755" spans="1:5" x14ac:dyDescent="0.25">
      <c r="A1755">
        <v>33</v>
      </c>
      <c r="B1755">
        <v>16</v>
      </c>
      <c r="C1755" t="s">
        <v>1265</v>
      </c>
      <c r="D1755" s="5">
        <v>0</v>
      </c>
      <c r="E1755" t="s">
        <v>1266</v>
      </c>
    </row>
    <row r="1756" spans="1:5" hidden="1" x14ac:dyDescent="0.25">
      <c r="A1756">
        <v>33</v>
      </c>
      <c r="B1756">
        <v>16</v>
      </c>
      <c r="C1756" t="s">
        <v>39</v>
      </c>
      <c r="D1756" s="4">
        <v>0</v>
      </c>
      <c r="E1756" t="s">
        <v>39</v>
      </c>
    </row>
    <row r="1757" spans="1:5" hidden="1" x14ac:dyDescent="0.25">
      <c r="A1757">
        <v>33</v>
      </c>
      <c r="B1757">
        <v>20</v>
      </c>
      <c r="C1757" t="s">
        <v>39</v>
      </c>
      <c r="D1757" s="4">
        <v>0</v>
      </c>
      <c r="E1757" t="s">
        <v>39</v>
      </c>
    </row>
    <row r="1758" spans="1:5" x14ac:dyDescent="0.25">
      <c r="A1758">
        <v>33</v>
      </c>
      <c r="B1758">
        <v>20</v>
      </c>
      <c r="C1758" t="s">
        <v>1267</v>
      </c>
      <c r="D1758" s="5">
        <v>0</v>
      </c>
      <c r="E1758" t="s">
        <v>1268</v>
      </c>
    </row>
    <row r="1759" spans="1:5" hidden="1" x14ac:dyDescent="0.25">
      <c r="A1759">
        <v>33</v>
      </c>
      <c r="B1759">
        <v>20</v>
      </c>
      <c r="C1759" t="s">
        <v>39</v>
      </c>
      <c r="D1759" s="4">
        <v>0</v>
      </c>
      <c r="E1759" t="s">
        <v>39</v>
      </c>
    </row>
    <row r="1760" spans="1:5" x14ac:dyDescent="0.25">
      <c r="A1760">
        <v>33</v>
      </c>
      <c r="B1760">
        <v>20</v>
      </c>
      <c r="C1760" t="s">
        <v>1269</v>
      </c>
      <c r="D1760" s="5">
        <v>0</v>
      </c>
      <c r="E1760" t="s">
        <v>1270</v>
      </c>
    </row>
    <row r="1761" spans="1:5" hidden="1" x14ac:dyDescent="0.25">
      <c r="A1761">
        <v>33</v>
      </c>
      <c r="B1761">
        <v>20</v>
      </c>
      <c r="C1761" t="s">
        <v>39</v>
      </c>
      <c r="D1761" s="4">
        <v>0</v>
      </c>
      <c r="E1761" t="s">
        <v>39</v>
      </c>
    </row>
    <row r="1762" spans="1:5" x14ac:dyDescent="0.25">
      <c r="A1762">
        <v>33</v>
      </c>
      <c r="B1762">
        <v>20</v>
      </c>
      <c r="C1762" t="s">
        <v>78</v>
      </c>
      <c r="D1762" s="5">
        <v>60</v>
      </c>
      <c r="E1762" t="s">
        <v>79</v>
      </c>
    </row>
    <row r="1763" spans="1:5" hidden="1" x14ac:dyDescent="0.25">
      <c r="A1763">
        <v>33</v>
      </c>
      <c r="B1763">
        <v>20</v>
      </c>
      <c r="C1763" t="s">
        <v>39</v>
      </c>
      <c r="D1763" s="4">
        <v>0</v>
      </c>
      <c r="E1763" t="s">
        <v>39</v>
      </c>
    </row>
    <row r="1764" spans="1:5" hidden="1" x14ac:dyDescent="0.25">
      <c r="A1764">
        <v>33</v>
      </c>
      <c r="B1764">
        <v>20</v>
      </c>
      <c r="C1764" t="s">
        <v>39</v>
      </c>
      <c r="D1764" s="4">
        <v>0</v>
      </c>
      <c r="E1764" t="s">
        <v>39</v>
      </c>
    </row>
    <row r="1765" spans="1:5" x14ac:dyDescent="0.25">
      <c r="A1765">
        <v>33</v>
      </c>
      <c r="B1765">
        <v>20</v>
      </c>
      <c r="C1765" t="s">
        <v>80</v>
      </c>
      <c r="D1765" s="5">
        <v>60</v>
      </c>
      <c r="E1765" t="s">
        <v>81</v>
      </c>
    </row>
    <row r="1766" spans="1:5" x14ac:dyDescent="0.25">
      <c r="A1766">
        <v>34</v>
      </c>
      <c r="B1766">
        <v>1</v>
      </c>
      <c r="C1766" t="s">
        <v>1271</v>
      </c>
      <c r="D1766" s="5">
        <v>0</v>
      </c>
      <c r="E1766" t="s">
        <v>1272</v>
      </c>
    </row>
    <row r="1767" spans="1:5" hidden="1" x14ac:dyDescent="0.25">
      <c r="A1767">
        <v>34</v>
      </c>
      <c r="B1767">
        <v>1</v>
      </c>
      <c r="C1767" t="s">
        <v>39</v>
      </c>
      <c r="D1767" s="4">
        <v>0</v>
      </c>
      <c r="E1767" t="s">
        <v>39</v>
      </c>
    </row>
    <row r="1768" spans="1:5" x14ac:dyDescent="0.25">
      <c r="A1768">
        <v>34</v>
      </c>
      <c r="B1768">
        <v>1</v>
      </c>
      <c r="C1768" t="s">
        <v>1273</v>
      </c>
      <c r="D1768" s="5">
        <v>0</v>
      </c>
      <c r="E1768" t="s">
        <v>1274</v>
      </c>
    </row>
    <row r="1769" spans="1:5" hidden="1" x14ac:dyDescent="0.25">
      <c r="A1769">
        <v>34</v>
      </c>
      <c r="B1769">
        <v>1</v>
      </c>
      <c r="C1769" t="s">
        <v>39</v>
      </c>
      <c r="D1769" s="4">
        <v>0</v>
      </c>
      <c r="E1769" t="s">
        <v>39</v>
      </c>
    </row>
    <row r="1770" spans="1:5" x14ac:dyDescent="0.25">
      <c r="A1770">
        <v>34</v>
      </c>
      <c r="B1770">
        <v>1</v>
      </c>
      <c r="C1770" t="s">
        <v>1275</v>
      </c>
      <c r="D1770" s="5">
        <v>0</v>
      </c>
      <c r="E1770" t="s">
        <v>1276</v>
      </c>
    </row>
    <row r="1771" spans="1:5" hidden="1" x14ac:dyDescent="0.25">
      <c r="A1771">
        <v>34</v>
      </c>
      <c r="B1771">
        <v>1</v>
      </c>
      <c r="C1771" t="s">
        <v>39</v>
      </c>
      <c r="D1771" s="4">
        <v>0</v>
      </c>
      <c r="E1771" t="s">
        <v>39</v>
      </c>
    </row>
    <row r="1772" spans="1:5" x14ac:dyDescent="0.25">
      <c r="A1772">
        <v>34</v>
      </c>
      <c r="B1772">
        <v>1</v>
      </c>
      <c r="C1772" t="s">
        <v>203</v>
      </c>
      <c r="D1772" s="5">
        <v>0</v>
      </c>
      <c r="E1772" t="s">
        <v>1277</v>
      </c>
    </row>
    <row r="1773" spans="1:5" hidden="1" x14ac:dyDescent="0.25">
      <c r="A1773">
        <v>34</v>
      </c>
      <c r="B1773">
        <v>1</v>
      </c>
      <c r="C1773" t="s">
        <v>39</v>
      </c>
      <c r="D1773" s="4">
        <v>0</v>
      </c>
      <c r="E1773" t="s">
        <v>39</v>
      </c>
    </row>
    <row r="1774" spans="1:5" hidden="1" x14ac:dyDescent="0.25">
      <c r="A1774">
        <v>34</v>
      </c>
      <c r="B1774">
        <v>4</v>
      </c>
      <c r="C1774" t="s">
        <v>39</v>
      </c>
      <c r="D1774" s="4">
        <v>0</v>
      </c>
      <c r="E1774" t="s">
        <v>39</v>
      </c>
    </row>
    <row r="1775" spans="1:5" x14ac:dyDescent="0.25">
      <c r="A1775">
        <v>34</v>
      </c>
      <c r="B1775">
        <v>4</v>
      </c>
      <c r="C1775" t="s">
        <v>1278</v>
      </c>
      <c r="D1775" s="5">
        <v>0</v>
      </c>
      <c r="E1775" t="s">
        <v>1279</v>
      </c>
    </row>
    <row r="1776" spans="1:5" hidden="1" x14ac:dyDescent="0.25">
      <c r="A1776">
        <v>34</v>
      </c>
      <c r="B1776">
        <v>4</v>
      </c>
      <c r="C1776" t="s">
        <v>39</v>
      </c>
      <c r="D1776" s="4">
        <v>0</v>
      </c>
      <c r="E1776" t="s">
        <v>39</v>
      </c>
    </row>
    <row r="1777" spans="1:5" x14ac:dyDescent="0.25">
      <c r="A1777">
        <v>34</v>
      </c>
      <c r="B1777">
        <v>4</v>
      </c>
      <c r="C1777" t="s">
        <v>1280</v>
      </c>
      <c r="D1777" s="5">
        <v>0</v>
      </c>
      <c r="E1777" t="s">
        <v>1281</v>
      </c>
    </row>
    <row r="1778" spans="1:5" hidden="1" x14ac:dyDescent="0.25">
      <c r="A1778">
        <v>34</v>
      </c>
      <c r="B1778">
        <v>4</v>
      </c>
      <c r="C1778" t="s">
        <v>39</v>
      </c>
      <c r="D1778" s="4">
        <v>0</v>
      </c>
      <c r="E1778" t="s">
        <v>39</v>
      </c>
    </row>
    <row r="1779" spans="1:5" x14ac:dyDescent="0.25">
      <c r="A1779">
        <v>34</v>
      </c>
      <c r="B1779">
        <v>4</v>
      </c>
      <c r="C1779" t="s">
        <v>1282</v>
      </c>
      <c r="D1779" s="5">
        <v>0</v>
      </c>
      <c r="E1779" t="s">
        <v>1283</v>
      </c>
    </row>
    <row r="1780" spans="1:5" hidden="1" x14ac:dyDescent="0.25">
      <c r="A1780">
        <v>34</v>
      </c>
      <c r="B1780">
        <v>4</v>
      </c>
      <c r="C1780" t="s">
        <v>39</v>
      </c>
      <c r="D1780" s="4">
        <v>0</v>
      </c>
      <c r="E1780" t="s">
        <v>39</v>
      </c>
    </row>
    <row r="1781" spans="1:5" x14ac:dyDescent="0.25">
      <c r="A1781">
        <v>34</v>
      </c>
      <c r="B1781">
        <v>4</v>
      </c>
      <c r="C1781" t="s">
        <v>872</v>
      </c>
      <c r="D1781" s="5">
        <v>0</v>
      </c>
      <c r="E1781" t="s">
        <v>873</v>
      </c>
    </row>
    <row r="1782" spans="1:5" hidden="1" x14ac:dyDescent="0.25">
      <c r="A1782">
        <v>34</v>
      </c>
      <c r="B1782">
        <v>4</v>
      </c>
      <c r="C1782" t="s">
        <v>39</v>
      </c>
      <c r="D1782" s="4">
        <v>0</v>
      </c>
      <c r="E1782" t="s">
        <v>39</v>
      </c>
    </row>
    <row r="1783" spans="1:5" hidden="1" x14ac:dyDescent="0.25">
      <c r="A1783">
        <v>34</v>
      </c>
      <c r="B1783">
        <v>7</v>
      </c>
      <c r="C1783" t="s">
        <v>39</v>
      </c>
      <c r="D1783" s="4">
        <v>0</v>
      </c>
      <c r="E1783" t="s">
        <v>39</v>
      </c>
    </row>
    <row r="1784" spans="1:5" x14ac:dyDescent="0.25">
      <c r="A1784">
        <v>34</v>
      </c>
      <c r="B1784">
        <v>7</v>
      </c>
      <c r="C1784" t="s">
        <v>1284</v>
      </c>
      <c r="D1784" s="5">
        <v>0</v>
      </c>
      <c r="E1784" t="s">
        <v>1285</v>
      </c>
    </row>
    <row r="1785" spans="1:5" hidden="1" x14ac:dyDescent="0.25">
      <c r="A1785">
        <v>34</v>
      </c>
      <c r="B1785">
        <v>7</v>
      </c>
      <c r="C1785" t="s">
        <v>39</v>
      </c>
      <c r="D1785" s="4">
        <v>0</v>
      </c>
      <c r="E1785" t="s">
        <v>39</v>
      </c>
    </row>
    <row r="1786" spans="1:5" x14ac:dyDescent="0.25">
      <c r="A1786">
        <v>34</v>
      </c>
      <c r="B1786">
        <v>7</v>
      </c>
      <c r="C1786" t="s">
        <v>1286</v>
      </c>
      <c r="D1786" s="5">
        <v>0</v>
      </c>
      <c r="E1786" t="s">
        <v>1287</v>
      </c>
    </row>
    <row r="1787" spans="1:5" hidden="1" x14ac:dyDescent="0.25">
      <c r="A1787">
        <v>34</v>
      </c>
      <c r="B1787">
        <v>7</v>
      </c>
      <c r="C1787" t="s">
        <v>39</v>
      </c>
      <c r="D1787" s="4">
        <v>0</v>
      </c>
      <c r="E1787" t="s">
        <v>39</v>
      </c>
    </row>
    <row r="1788" spans="1:5" x14ac:dyDescent="0.25">
      <c r="A1788">
        <v>34</v>
      </c>
      <c r="B1788">
        <v>7</v>
      </c>
      <c r="C1788" t="s">
        <v>1288</v>
      </c>
      <c r="D1788" s="5">
        <v>0</v>
      </c>
      <c r="E1788" t="s">
        <v>1289</v>
      </c>
    </row>
    <row r="1789" spans="1:5" hidden="1" x14ac:dyDescent="0.25">
      <c r="A1789">
        <v>34</v>
      </c>
      <c r="B1789">
        <v>7</v>
      </c>
      <c r="C1789" t="s">
        <v>39</v>
      </c>
      <c r="D1789" s="4">
        <v>0</v>
      </c>
      <c r="E1789" t="s">
        <v>39</v>
      </c>
    </row>
    <row r="1790" spans="1:5" x14ac:dyDescent="0.25">
      <c r="A1790">
        <v>34</v>
      </c>
      <c r="B1790">
        <v>7</v>
      </c>
      <c r="C1790" t="s">
        <v>1290</v>
      </c>
      <c r="D1790" s="5">
        <v>0</v>
      </c>
      <c r="E1790" t="s">
        <v>1291</v>
      </c>
    </row>
    <row r="1791" spans="1:5" hidden="1" x14ac:dyDescent="0.25">
      <c r="A1791">
        <v>34</v>
      </c>
      <c r="B1791">
        <v>7</v>
      </c>
      <c r="C1791" t="s">
        <v>39</v>
      </c>
      <c r="D1791" s="4">
        <v>0</v>
      </c>
      <c r="E1791" t="s">
        <v>39</v>
      </c>
    </row>
    <row r="1792" spans="1:5" hidden="1" x14ac:dyDescent="0.25">
      <c r="A1792">
        <v>34</v>
      </c>
      <c r="B1792">
        <v>10</v>
      </c>
      <c r="C1792" t="s">
        <v>39</v>
      </c>
      <c r="D1792" s="4">
        <v>0</v>
      </c>
      <c r="E1792" t="s">
        <v>39</v>
      </c>
    </row>
    <row r="1793" spans="1:5" x14ac:dyDescent="0.25">
      <c r="A1793">
        <v>34</v>
      </c>
      <c r="B1793">
        <v>10</v>
      </c>
      <c r="C1793" t="s">
        <v>1292</v>
      </c>
      <c r="D1793" s="5">
        <v>0</v>
      </c>
      <c r="E1793" t="s">
        <v>1293</v>
      </c>
    </row>
    <row r="1794" spans="1:5" hidden="1" x14ac:dyDescent="0.25">
      <c r="A1794">
        <v>34</v>
      </c>
      <c r="B1794">
        <v>10</v>
      </c>
      <c r="C1794" t="s">
        <v>39</v>
      </c>
      <c r="D1794" s="4">
        <v>0</v>
      </c>
      <c r="E1794" t="s">
        <v>39</v>
      </c>
    </row>
    <row r="1795" spans="1:5" x14ac:dyDescent="0.25">
      <c r="A1795">
        <v>34</v>
      </c>
      <c r="B1795">
        <v>10</v>
      </c>
      <c r="C1795" t="s">
        <v>1294</v>
      </c>
      <c r="D1795" s="5">
        <v>0</v>
      </c>
      <c r="E1795" t="s">
        <v>1295</v>
      </c>
    </row>
    <row r="1796" spans="1:5" hidden="1" x14ac:dyDescent="0.25">
      <c r="A1796">
        <v>34</v>
      </c>
      <c r="B1796">
        <v>10</v>
      </c>
      <c r="C1796" t="s">
        <v>39</v>
      </c>
      <c r="D1796" s="4">
        <v>0</v>
      </c>
      <c r="E1796" t="s">
        <v>39</v>
      </c>
    </row>
    <row r="1797" spans="1:5" hidden="1" x14ac:dyDescent="0.25">
      <c r="A1797">
        <v>34</v>
      </c>
      <c r="B1797">
        <v>13</v>
      </c>
      <c r="C1797" t="s">
        <v>39</v>
      </c>
      <c r="D1797" s="4">
        <v>0</v>
      </c>
      <c r="E1797" t="s">
        <v>39</v>
      </c>
    </row>
    <row r="1798" spans="1:5" x14ac:dyDescent="0.25">
      <c r="A1798">
        <v>34</v>
      </c>
      <c r="B1798">
        <v>13</v>
      </c>
      <c r="C1798" t="s">
        <v>1296</v>
      </c>
      <c r="D1798" s="5">
        <v>0</v>
      </c>
      <c r="E1798" t="s">
        <v>1297</v>
      </c>
    </row>
    <row r="1799" spans="1:5" hidden="1" x14ac:dyDescent="0.25">
      <c r="A1799">
        <v>34</v>
      </c>
      <c r="B1799">
        <v>13</v>
      </c>
      <c r="C1799" t="s">
        <v>39</v>
      </c>
      <c r="D1799" s="4">
        <v>0</v>
      </c>
      <c r="E1799" t="s">
        <v>39</v>
      </c>
    </row>
    <row r="1800" spans="1:5" x14ac:dyDescent="0.25">
      <c r="A1800">
        <v>34</v>
      </c>
      <c r="B1800">
        <v>13</v>
      </c>
      <c r="C1800" t="s">
        <v>1298</v>
      </c>
      <c r="D1800" s="5">
        <v>0</v>
      </c>
      <c r="E1800" t="s">
        <v>2565</v>
      </c>
    </row>
    <row r="1801" spans="1:5" hidden="1" x14ac:dyDescent="0.25">
      <c r="A1801">
        <v>34</v>
      </c>
      <c r="B1801">
        <v>13</v>
      </c>
      <c r="C1801" t="s">
        <v>39</v>
      </c>
      <c r="D1801" s="4">
        <v>0</v>
      </c>
      <c r="E1801" t="s">
        <v>39</v>
      </c>
    </row>
    <row r="1802" spans="1:5" x14ac:dyDescent="0.25">
      <c r="A1802">
        <v>34</v>
      </c>
      <c r="B1802">
        <v>13</v>
      </c>
      <c r="C1802" t="s">
        <v>1299</v>
      </c>
      <c r="D1802" s="5">
        <v>0</v>
      </c>
      <c r="E1802" t="s">
        <v>1300</v>
      </c>
    </row>
    <row r="1803" spans="1:5" hidden="1" x14ac:dyDescent="0.25">
      <c r="A1803">
        <v>34</v>
      </c>
      <c r="B1803">
        <v>13</v>
      </c>
      <c r="C1803" t="s">
        <v>39</v>
      </c>
      <c r="D1803" s="4">
        <v>0</v>
      </c>
      <c r="E1803" t="s">
        <v>39</v>
      </c>
    </row>
    <row r="1804" spans="1:5" x14ac:dyDescent="0.25">
      <c r="A1804">
        <v>34</v>
      </c>
      <c r="B1804">
        <v>13</v>
      </c>
      <c r="C1804" t="s">
        <v>1301</v>
      </c>
      <c r="D1804" s="5">
        <v>0</v>
      </c>
      <c r="E1804" t="s">
        <v>1302</v>
      </c>
    </row>
    <row r="1805" spans="1:5" hidden="1" x14ac:dyDescent="0.25">
      <c r="A1805">
        <v>34</v>
      </c>
      <c r="B1805">
        <v>13</v>
      </c>
      <c r="C1805" t="s">
        <v>39</v>
      </c>
      <c r="D1805" s="4">
        <v>0</v>
      </c>
      <c r="E1805" t="s">
        <v>39</v>
      </c>
    </row>
    <row r="1806" spans="1:5" hidden="1" x14ac:dyDescent="0.25">
      <c r="A1806">
        <v>34</v>
      </c>
      <c r="B1806">
        <v>16</v>
      </c>
      <c r="C1806" t="s">
        <v>39</v>
      </c>
      <c r="D1806" s="4">
        <v>0</v>
      </c>
      <c r="E1806" t="s">
        <v>39</v>
      </c>
    </row>
    <row r="1807" spans="1:5" x14ac:dyDescent="0.25">
      <c r="A1807">
        <v>34</v>
      </c>
      <c r="B1807">
        <v>16</v>
      </c>
      <c r="C1807" t="s">
        <v>1303</v>
      </c>
      <c r="D1807" s="5">
        <v>0</v>
      </c>
      <c r="E1807" t="s">
        <v>1304</v>
      </c>
    </row>
    <row r="1808" spans="1:5" hidden="1" x14ac:dyDescent="0.25">
      <c r="A1808">
        <v>34</v>
      </c>
      <c r="B1808">
        <v>16</v>
      </c>
      <c r="C1808" t="s">
        <v>39</v>
      </c>
      <c r="D1808" s="4">
        <v>0</v>
      </c>
      <c r="E1808" t="s">
        <v>39</v>
      </c>
    </row>
    <row r="1809" spans="1:5" x14ac:dyDescent="0.25">
      <c r="A1809">
        <v>34</v>
      </c>
      <c r="B1809">
        <v>16</v>
      </c>
      <c r="C1809" t="s">
        <v>1305</v>
      </c>
      <c r="D1809" s="5">
        <v>0</v>
      </c>
      <c r="E1809" t="s">
        <v>1306</v>
      </c>
    </row>
    <row r="1810" spans="1:5" hidden="1" x14ac:dyDescent="0.25">
      <c r="A1810">
        <v>34</v>
      </c>
      <c r="B1810">
        <v>16</v>
      </c>
      <c r="C1810" t="s">
        <v>39</v>
      </c>
      <c r="D1810" s="4">
        <v>0</v>
      </c>
      <c r="E1810" t="s">
        <v>39</v>
      </c>
    </row>
    <row r="1811" spans="1:5" x14ac:dyDescent="0.25">
      <c r="A1811">
        <v>34</v>
      </c>
      <c r="B1811">
        <v>16</v>
      </c>
      <c r="C1811" t="s">
        <v>1307</v>
      </c>
      <c r="D1811" s="5">
        <v>0</v>
      </c>
      <c r="E1811" t="s">
        <v>1308</v>
      </c>
    </row>
    <row r="1812" spans="1:5" hidden="1" x14ac:dyDescent="0.25">
      <c r="A1812">
        <v>34</v>
      </c>
      <c r="B1812">
        <v>16</v>
      </c>
      <c r="C1812" t="s">
        <v>39</v>
      </c>
      <c r="D1812" s="4">
        <v>0</v>
      </c>
      <c r="E1812" t="s">
        <v>39</v>
      </c>
    </row>
    <row r="1813" spans="1:5" x14ac:dyDescent="0.25">
      <c r="A1813">
        <v>34</v>
      </c>
      <c r="B1813">
        <v>16</v>
      </c>
      <c r="C1813" t="s">
        <v>75</v>
      </c>
      <c r="D1813" s="5">
        <v>0</v>
      </c>
      <c r="E1813" t="s">
        <v>2404</v>
      </c>
    </row>
    <row r="1814" spans="1:5" hidden="1" x14ac:dyDescent="0.25">
      <c r="A1814">
        <v>34</v>
      </c>
      <c r="B1814">
        <v>16</v>
      </c>
      <c r="C1814" t="s">
        <v>39</v>
      </c>
      <c r="D1814" s="4">
        <v>0</v>
      </c>
      <c r="E1814" t="s">
        <v>39</v>
      </c>
    </row>
    <row r="1815" spans="1:5" hidden="1" x14ac:dyDescent="0.25">
      <c r="A1815">
        <v>34</v>
      </c>
      <c r="B1815">
        <v>20</v>
      </c>
      <c r="C1815" t="s">
        <v>39</v>
      </c>
      <c r="D1815" s="4">
        <v>0</v>
      </c>
      <c r="E1815" t="s">
        <v>39</v>
      </c>
    </row>
    <row r="1816" spans="1:5" x14ac:dyDescent="0.25">
      <c r="A1816">
        <v>34</v>
      </c>
      <c r="B1816">
        <v>20</v>
      </c>
      <c r="C1816" t="s">
        <v>1309</v>
      </c>
      <c r="D1816" s="5">
        <v>0</v>
      </c>
      <c r="E1816" t="s">
        <v>1310</v>
      </c>
    </row>
    <row r="1817" spans="1:5" hidden="1" x14ac:dyDescent="0.25">
      <c r="A1817">
        <v>34</v>
      </c>
      <c r="B1817">
        <v>20</v>
      </c>
      <c r="C1817" t="s">
        <v>39</v>
      </c>
      <c r="D1817" s="4">
        <v>0</v>
      </c>
      <c r="E1817" t="s">
        <v>39</v>
      </c>
    </row>
    <row r="1818" spans="1:5" x14ac:dyDescent="0.25">
      <c r="A1818">
        <v>34</v>
      </c>
      <c r="B1818">
        <v>20</v>
      </c>
      <c r="C1818" t="s">
        <v>1311</v>
      </c>
      <c r="D1818" s="5">
        <v>0</v>
      </c>
      <c r="E1818" t="s">
        <v>1312</v>
      </c>
    </row>
    <row r="1819" spans="1:5" hidden="1" x14ac:dyDescent="0.25">
      <c r="A1819">
        <v>34</v>
      </c>
      <c r="B1819">
        <v>20</v>
      </c>
      <c r="C1819" t="s">
        <v>39</v>
      </c>
      <c r="D1819" s="4">
        <v>0</v>
      </c>
      <c r="E1819" t="s">
        <v>39</v>
      </c>
    </row>
    <row r="1820" spans="1:5" x14ac:dyDescent="0.25">
      <c r="A1820">
        <v>34</v>
      </c>
      <c r="B1820">
        <v>20</v>
      </c>
      <c r="C1820" t="s">
        <v>80</v>
      </c>
      <c r="D1820" s="5">
        <v>0</v>
      </c>
      <c r="E1820" t="s">
        <v>81</v>
      </c>
    </row>
    <row r="1821" spans="1:5" hidden="1" x14ac:dyDescent="0.25">
      <c r="A1821">
        <v>34</v>
      </c>
      <c r="B1821">
        <v>20</v>
      </c>
      <c r="C1821" t="s">
        <v>39</v>
      </c>
      <c r="D1821" s="4">
        <v>0</v>
      </c>
      <c r="E1821" t="s">
        <v>39</v>
      </c>
    </row>
    <row r="1822" spans="1:5" x14ac:dyDescent="0.25">
      <c r="A1822">
        <v>34</v>
      </c>
      <c r="B1822">
        <v>20</v>
      </c>
      <c r="C1822" t="s">
        <v>193</v>
      </c>
      <c r="D1822" s="5">
        <v>0</v>
      </c>
      <c r="E1822" t="s">
        <v>194</v>
      </c>
    </row>
    <row r="1823" spans="1:5" x14ac:dyDescent="0.25">
      <c r="A1823">
        <v>35</v>
      </c>
      <c r="B1823">
        <v>1</v>
      </c>
      <c r="C1823" t="s">
        <v>1313</v>
      </c>
      <c r="D1823" s="5">
        <v>0</v>
      </c>
      <c r="E1823" t="s">
        <v>1348</v>
      </c>
    </row>
    <row r="1824" spans="1:5" hidden="1" x14ac:dyDescent="0.25">
      <c r="A1824">
        <v>35</v>
      </c>
      <c r="B1824">
        <v>1</v>
      </c>
      <c r="C1824" t="s">
        <v>39</v>
      </c>
      <c r="D1824" s="4">
        <v>0</v>
      </c>
      <c r="E1824" t="s">
        <v>39</v>
      </c>
    </row>
    <row r="1825" spans="1:5" x14ac:dyDescent="0.25">
      <c r="A1825">
        <v>35</v>
      </c>
      <c r="B1825">
        <v>1</v>
      </c>
      <c r="C1825" t="s">
        <v>1314</v>
      </c>
      <c r="D1825" s="5">
        <v>0</v>
      </c>
      <c r="E1825" t="s">
        <v>1347</v>
      </c>
    </row>
    <row r="1826" spans="1:5" hidden="1" x14ac:dyDescent="0.25">
      <c r="A1826">
        <v>35</v>
      </c>
      <c r="B1826">
        <v>1</v>
      </c>
      <c r="C1826" t="s">
        <v>39</v>
      </c>
      <c r="D1826" s="4">
        <v>0</v>
      </c>
      <c r="E1826" t="s">
        <v>39</v>
      </c>
    </row>
    <row r="1827" spans="1:5" x14ac:dyDescent="0.25">
      <c r="A1827">
        <v>35</v>
      </c>
      <c r="B1827">
        <v>1</v>
      </c>
      <c r="C1827" t="s">
        <v>1315</v>
      </c>
      <c r="D1827" s="5">
        <v>0</v>
      </c>
      <c r="E1827" t="s">
        <v>1342</v>
      </c>
    </row>
    <row r="1828" spans="1:5" hidden="1" x14ac:dyDescent="0.25">
      <c r="A1828">
        <v>35</v>
      </c>
      <c r="B1828">
        <v>1</v>
      </c>
      <c r="C1828" t="s">
        <v>39</v>
      </c>
      <c r="D1828" s="4">
        <v>0</v>
      </c>
      <c r="E1828" t="s">
        <v>39</v>
      </c>
    </row>
    <row r="1829" spans="1:5" hidden="1" x14ac:dyDescent="0.25">
      <c r="A1829">
        <v>35</v>
      </c>
      <c r="B1829">
        <v>4</v>
      </c>
      <c r="C1829" t="s">
        <v>39</v>
      </c>
      <c r="D1829" s="4">
        <v>0</v>
      </c>
      <c r="E1829" t="s">
        <v>39</v>
      </c>
    </row>
    <row r="1830" spans="1:5" x14ac:dyDescent="0.25">
      <c r="A1830">
        <v>35</v>
      </c>
      <c r="B1830">
        <v>4</v>
      </c>
      <c r="C1830" t="s">
        <v>1316</v>
      </c>
      <c r="D1830" s="5">
        <v>0</v>
      </c>
      <c r="E1830" t="s">
        <v>1317</v>
      </c>
    </row>
    <row r="1831" spans="1:5" hidden="1" x14ac:dyDescent="0.25">
      <c r="A1831">
        <v>35</v>
      </c>
      <c r="B1831">
        <v>4</v>
      </c>
      <c r="C1831" t="s">
        <v>39</v>
      </c>
      <c r="D1831" s="4">
        <v>0</v>
      </c>
      <c r="E1831" t="s">
        <v>39</v>
      </c>
    </row>
    <row r="1832" spans="1:5" x14ac:dyDescent="0.25">
      <c r="A1832">
        <v>35</v>
      </c>
      <c r="B1832">
        <v>4</v>
      </c>
      <c r="C1832" t="s">
        <v>1318</v>
      </c>
      <c r="D1832" s="5">
        <v>0</v>
      </c>
      <c r="E1832" t="s">
        <v>1343</v>
      </c>
    </row>
    <row r="1833" spans="1:5" hidden="1" x14ac:dyDescent="0.25">
      <c r="A1833">
        <v>35</v>
      </c>
      <c r="B1833">
        <v>4</v>
      </c>
      <c r="C1833" t="s">
        <v>39</v>
      </c>
      <c r="D1833" s="4">
        <v>0</v>
      </c>
      <c r="E1833" t="s">
        <v>39</v>
      </c>
    </row>
    <row r="1834" spans="1:5" x14ac:dyDescent="0.25">
      <c r="A1834">
        <v>35</v>
      </c>
      <c r="B1834">
        <v>4</v>
      </c>
      <c r="C1834" t="s">
        <v>1319</v>
      </c>
      <c r="D1834" s="5">
        <v>0</v>
      </c>
      <c r="E1834" t="s">
        <v>1344</v>
      </c>
    </row>
    <row r="1835" spans="1:5" hidden="1" x14ac:dyDescent="0.25">
      <c r="A1835">
        <v>35</v>
      </c>
      <c r="B1835">
        <v>4</v>
      </c>
      <c r="C1835" t="s">
        <v>39</v>
      </c>
      <c r="D1835" s="4">
        <v>0</v>
      </c>
      <c r="E1835" t="s">
        <v>39</v>
      </c>
    </row>
    <row r="1836" spans="1:5" hidden="1" x14ac:dyDescent="0.25">
      <c r="A1836">
        <v>35</v>
      </c>
      <c r="B1836">
        <v>7</v>
      </c>
      <c r="C1836" t="s">
        <v>39</v>
      </c>
      <c r="D1836" s="4">
        <v>0</v>
      </c>
      <c r="E1836" t="s">
        <v>39</v>
      </c>
    </row>
    <row r="1837" spans="1:5" x14ac:dyDescent="0.25">
      <c r="A1837">
        <v>35</v>
      </c>
      <c r="B1837">
        <v>7</v>
      </c>
      <c r="C1837" t="s">
        <v>1320</v>
      </c>
      <c r="D1837" s="5">
        <v>0</v>
      </c>
      <c r="E1837" t="s">
        <v>1321</v>
      </c>
    </row>
    <row r="1838" spans="1:5" hidden="1" x14ac:dyDescent="0.25">
      <c r="A1838">
        <v>35</v>
      </c>
      <c r="B1838">
        <v>7</v>
      </c>
      <c r="C1838" t="s">
        <v>39</v>
      </c>
      <c r="D1838" s="4">
        <v>0</v>
      </c>
      <c r="E1838" t="s">
        <v>39</v>
      </c>
    </row>
    <row r="1839" spans="1:5" x14ac:dyDescent="0.25">
      <c r="A1839">
        <v>35</v>
      </c>
      <c r="B1839">
        <v>7</v>
      </c>
      <c r="C1839" t="s">
        <v>1322</v>
      </c>
      <c r="D1839" s="5">
        <v>0</v>
      </c>
      <c r="E1839" t="s">
        <v>1323</v>
      </c>
    </row>
    <row r="1840" spans="1:5" hidden="1" x14ac:dyDescent="0.25">
      <c r="A1840">
        <v>35</v>
      </c>
      <c r="B1840">
        <v>7</v>
      </c>
      <c r="C1840" t="s">
        <v>39</v>
      </c>
      <c r="D1840" s="4">
        <v>0</v>
      </c>
      <c r="E1840" t="s">
        <v>39</v>
      </c>
    </row>
    <row r="1841" spans="1:5" x14ac:dyDescent="0.25">
      <c r="A1841">
        <v>35</v>
      </c>
      <c r="B1841">
        <v>7</v>
      </c>
      <c r="C1841" t="s">
        <v>1324</v>
      </c>
      <c r="D1841" s="5">
        <v>0</v>
      </c>
      <c r="E1841" t="s">
        <v>1325</v>
      </c>
    </row>
    <row r="1842" spans="1:5" hidden="1" x14ac:dyDescent="0.25">
      <c r="A1842">
        <v>35</v>
      </c>
      <c r="B1842">
        <v>7</v>
      </c>
      <c r="C1842" t="s">
        <v>39</v>
      </c>
      <c r="D1842" s="4">
        <v>0</v>
      </c>
      <c r="E1842" t="s">
        <v>39</v>
      </c>
    </row>
    <row r="1843" spans="1:5" hidden="1" x14ac:dyDescent="0.25">
      <c r="A1843">
        <v>35</v>
      </c>
      <c r="B1843">
        <v>10</v>
      </c>
      <c r="C1843" t="s">
        <v>39</v>
      </c>
      <c r="D1843" s="4">
        <v>0</v>
      </c>
      <c r="E1843" t="s">
        <v>39</v>
      </c>
    </row>
    <row r="1844" spans="1:5" x14ac:dyDescent="0.25">
      <c r="A1844">
        <v>35</v>
      </c>
      <c r="B1844">
        <v>10</v>
      </c>
      <c r="C1844" t="s">
        <v>1326</v>
      </c>
      <c r="D1844" s="5">
        <v>70</v>
      </c>
      <c r="E1844" t="s">
        <v>1327</v>
      </c>
    </row>
    <row r="1845" spans="1:5" hidden="1" x14ac:dyDescent="0.25">
      <c r="A1845">
        <v>35</v>
      </c>
      <c r="B1845">
        <v>10</v>
      </c>
      <c r="C1845" t="s">
        <v>39</v>
      </c>
      <c r="D1845" s="4">
        <v>0</v>
      </c>
      <c r="E1845" t="s">
        <v>39</v>
      </c>
    </row>
    <row r="1846" spans="1:5" hidden="1" x14ac:dyDescent="0.25">
      <c r="A1846">
        <v>35</v>
      </c>
      <c r="B1846">
        <v>10</v>
      </c>
      <c r="C1846" t="s">
        <v>39</v>
      </c>
      <c r="D1846" s="4">
        <v>0</v>
      </c>
      <c r="E1846" t="s">
        <v>39</v>
      </c>
    </row>
    <row r="1847" spans="1:5" x14ac:dyDescent="0.25">
      <c r="A1847">
        <v>35</v>
      </c>
      <c r="B1847">
        <v>10</v>
      </c>
      <c r="C1847" t="s">
        <v>1328</v>
      </c>
      <c r="D1847" s="5">
        <v>90</v>
      </c>
      <c r="E1847" t="s">
        <v>1329</v>
      </c>
    </row>
    <row r="1848" spans="1:5" hidden="1" x14ac:dyDescent="0.25">
      <c r="A1848">
        <v>35</v>
      </c>
      <c r="B1848">
        <v>10</v>
      </c>
      <c r="C1848" t="s">
        <v>39</v>
      </c>
      <c r="D1848" s="4">
        <v>0</v>
      </c>
      <c r="E1848" t="s">
        <v>39</v>
      </c>
    </row>
    <row r="1849" spans="1:5" hidden="1" x14ac:dyDescent="0.25">
      <c r="A1849">
        <v>35</v>
      </c>
      <c r="B1849">
        <v>10</v>
      </c>
      <c r="C1849" t="s">
        <v>39</v>
      </c>
      <c r="D1849" s="4">
        <v>0</v>
      </c>
      <c r="E1849" t="s">
        <v>39</v>
      </c>
    </row>
    <row r="1850" spans="1:5" hidden="1" x14ac:dyDescent="0.25">
      <c r="A1850">
        <v>35</v>
      </c>
      <c r="B1850">
        <v>13</v>
      </c>
      <c r="C1850" t="s">
        <v>39</v>
      </c>
      <c r="D1850" s="4">
        <v>0</v>
      </c>
      <c r="E1850" t="s">
        <v>39</v>
      </c>
    </row>
    <row r="1851" spans="1:5" x14ac:dyDescent="0.25">
      <c r="A1851">
        <v>35</v>
      </c>
      <c r="B1851">
        <v>13</v>
      </c>
      <c r="C1851" t="s">
        <v>1330</v>
      </c>
      <c r="D1851" s="5">
        <v>0</v>
      </c>
      <c r="E1851" t="s">
        <v>1331</v>
      </c>
    </row>
    <row r="1852" spans="1:5" hidden="1" x14ac:dyDescent="0.25">
      <c r="A1852">
        <v>35</v>
      </c>
      <c r="B1852">
        <v>13</v>
      </c>
      <c r="C1852" t="s">
        <v>39</v>
      </c>
      <c r="D1852" s="4">
        <v>0</v>
      </c>
      <c r="E1852" t="s">
        <v>39</v>
      </c>
    </row>
    <row r="1853" spans="1:5" x14ac:dyDescent="0.25">
      <c r="A1853">
        <v>35</v>
      </c>
      <c r="B1853">
        <v>13</v>
      </c>
      <c r="C1853" t="s">
        <v>1332</v>
      </c>
      <c r="D1853" s="5">
        <v>0</v>
      </c>
      <c r="E1853" t="s">
        <v>1333</v>
      </c>
    </row>
    <row r="1854" spans="1:5" hidden="1" x14ac:dyDescent="0.25">
      <c r="A1854">
        <v>35</v>
      </c>
      <c r="B1854">
        <v>13</v>
      </c>
      <c r="C1854" t="s">
        <v>39</v>
      </c>
      <c r="D1854" s="4">
        <v>0</v>
      </c>
      <c r="E1854" t="s">
        <v>39</v>
      </c>
    </row>
    <row r="1855" spans="1:5" x14ac:dyDescent="0.25">
      <c r="A1855">
        <v>35</v>
      </c>
      <c r="B1855">
        <v>13</v>
      </c>
      <c r="C1855" t="s">
        <v>229</v>
      </c>
      <c r="D1855" s="5">
        <v>60</v>
      </c>
      <c r="E1855" t="s">
        <v>1349</v>
      </c>
    </row>
    <row r="1856" spans="1:5" hidden="1" x14ac:dyDescent="0.25">
      <c r="A1856">
        <v>35</v>
      </c>
      <c r="B1856">
        <v>13</v>
      </c>
      <c r="C1856" t="s">
        <v>39</v>
      </c>
      <c r="D1856" s="4">
        <v>0</v>
      </c>
      <c r="E1856" t="s">
        <v>39</v>
      </c>
    </row>
    <row r="1857" spans="1:5" hidden="1" x14ac:dyDescent="0.25">
      <c r="A1857">
        <v>35</v>
      </c>
      <c r="B1857">
        <v>13</v>
      </c>
      <c r="C1857" t="s">
        <v>39</v>
      </c>
      <c r="D1857" s="4">
        <v>0</v>
      </c>
      <c r="E1857" t="s">
        <v>39</v>
      </c>
    </row>
    <row r="1858" spans="1:5" hidden="1" x14ac:dyDescent="0.25">
      <c r="A1858">
        <v>35</v>
      </c>
      <c r="B1858">
        <v>16</v>
      </c>
      <c r="C1858" t="s">
        <v>39</v>
      </c>
      <c r="D1858" s="4">
        <v>0</v>
      </c>
      <c r="E1858" t="s">
        <v>39</v>
      </c>
    </row>
    <row r="1859" spans="1:5" x14ac:dyDescent="0.25">
      <c r="A1859">
        <v>35</v>
      </c>
      <c r="B1859">
        <v>16</v>
      </c>
      <c r="C1859" t="s">
        <v>1334</v>
      </c>
      <c r="D1859" s="5">
        <v>0</v>
      </c>
      <c r="E1859" t="s">
        <v>2566</v>
      </c>
    </row>
    <row r="1860" spans="1:5" hidden="1" x14ac:dyDescent="0.25">
      <c r="A1860">
        <v>35</v>
      </c>
      <c r="B1860">
        <v>16</v>
      </c>
      <c r="C1860" t="s">
        <v>39</v>
      </c>
      <c r="D1860" s="4">
        <v>0</v>
      </c>
      <c r="E1860" t="s">
        <v>39</v>
      </c>
    </row>
    <row r="1861" spans="1:5" x14ac:dyDescent="0.25">
      <c r="A1861">
        <v>35</v>
      </c>
      <c r="B1861">
        <v>16</v>
      </c>
      <c r="C1861" t="s">
        <v>1335</v>
      </c>
      <c r="D1861" s="5">
        <v>0</v>
      </c>
      <c r="E1861" t="s">
        <v>1336</v>
      </c>
    </row>
    <row r="1862" spans="1:5" hidden="1" x14ac:dyDescent="0.25">
      <c r="A1862">
        <v>35</v>
      </c>
      <c r="B1862">
        <v>16</v>
      </c>
      <c r="C1862" t="s">
        <v>39</v>
      </c>
      <c r="D1862" s="4">
        <v>0</v>
      </c>
      <c r="E1862" t="s">
        <v>39</v>
      </c>
    </row>
    <row r="1863" spans="1:5" x14ac:dyDescent="0.25">
      <c r="A1863">
        <v>35</v>
      </c>
      <c r="B1863">
        <v>16</v>
      </c>
      <c r="C1863" t="s">
        <v>1337</v>
      </c>
      <c r="D1863" s="5">
        <v>15</v>
      </c>
      <c r="E1863" t="s">
        <v>1350</v>
      </c>
    </row>
    <row r="1864" spans="1:5" hidden="1" x14ac:dyDescent="0.25">
      <c r="A1864">
        <v>35</v>
      </c>
      <c r="B1864">
        <v>16</v>
      </c>
      <c r="C1864" t="s">
        <v>39</v>
      </c>
      <c r="D1864" s="4">
        <v>0</v>
      </c>
      <c r="E1864" t="s">
        <v>39</v>
      </c>
    </row>
    <row r="1865" spans="1:5" hidden="1" x14ac:dyDescent="0.25">
      <c r="A1865">
        <v>35</v>
      </c>
      <c r="B1865">
        <v>16</v>
      </c>
      <c r="C1865" t="s">
        <v>39</v>
      </c>
      <c r="D1865" s="4">
        <v>0</v>
      </c>
      <c r="E1865" t="s">
        <v>39</v>
      </c>
    </row>
    <row r="1866" spans="1:5" hidden="1" x14ac:dyDescent="0.25">
      <c r="A1866">
        <v>35</v>
      </c>
      <c r="B1866">
        <v>20</v>
      </c>
      <c r="C1866" t="s">
        <v>39</v>
      </c>
      <c r="D1866" s="4">
        <v>0</v>
      </c>
      <c r="E1866" t="s">
        <v>39</v>
      </c>
    </row>
    <row r="1867" spans="1:5" x14ac:dyDescent="0.25">
      <c r="A1867">
        <v>35</v>
      </c>
      <c r="B1867">
        <v>20</v>
      </c>
      <c r="C1867" t="s">
        <v>1338</v>
      </c>
      <c r="D1867" s="5">
        <v>0</v>
      </c>
      <c r="E1867" t="s">
        <v>2567</v>
      </c>
    </row>
    <row r="1868" spans="1:5" hidden="1" x14ac:dyDescent="0.25">
      <c r="A1868">
        <v>35</v>
      </c>
      <c r="B1868">
        <v>20</v>
      </c>
      <c r="C1868" t="s">
        <v>39</v>
      </c>
      <c r="D1868" s="4">
        <v>0</v>
      </c>
      <c r="E1868" t="s">
        <v>39</v>
      </c>
    </row>
    <row r="1869" spans="1:5" x14ac:dyDescent="0.25">
      <c r="A1869">
        <v>35</v>
      </c>
      <c r="B1869">
        <v>20</v>
      </c>
      <c r="C1869" t="s">
        <v>1339</v>
      </c>
      <c r="D1869" s="5">
        <v>0</v>
      </c>
      <c r="E1869" t="s">
        <v>1340</v>
      </c>
    </row>
    <row r="1870" spans="1:5" hidden="1" x14ac:dyDescent="0.25">
      <c r="A1870">
        <v>35</v>
      </c>
      <c r="B1870">
        <v>20</v>
      </c>
      <c r="C1870" t="s">
        <v>39</v>
      </c>
      <c r="D1870" s="4">
        <v>0</v>
      </c>
      <c r="E1870" t="s">
        <v>39</v>
      </c>
    </row>
    <row r="1871" spans="1:5" x14ac:dyDescent="0.25">
      <c r="A1871">
        <v>35</v>
      </c>
      <c r="B1871">
        <v>20</v>
      </c>
      <c r="C1871" t="s">
        <v>1095</v>
      </c>
      <c r="D1871" s="5">
        <v>0</v>
      </c>
      <c r="E1871" t="s">
        <v>1345</v>
      </c>
    </row>
    <row r="1872" spans="1:5" hidden="1" x14ac:dyDescent="0.25">
      <c r="A1872">
        <v>35</v>
      </c>
      <c r="B1872">
        <v>20</v>
      </c>
      <c r="C1872" t="s">
        <v>39</v>
      </c>
      <c r="D1872" s="4">
        <v>0</v>
      </c>
      <c r="E1872" t="s">
        <v>39</v>
      </c>
    </row>
    <row r="1873" spans="1:5" x14ac:dyDescent="0.25">
      <c r="A1873">
        <v>35</v>
      </c>
      <c r="B1873">
        <v>20</v>
      </c>
      <c r="C1873" t="s">
        <v>1341</v>
      </c>
      <c r="D1873" s="5">
        <v>0</v>
      </c>
      <c r="E1873" t="s">
        <v>1346</v>
      </c>
    </row>
    <row r="1874" spans="1:5" x14ac:dyDescent="0.25">
      <c r="A1874">
        <v>36</v>
      </c>
      <c r="B1874">
        <v>1</v>
      </c>
      <c r="C1874" t="s">
        <v>1351</v>
      </c>
      <c r="D1874" s="5">
        <v>0</v>
      </c>
      <c r="E1874" t="s">
        <v>1352</v>
      </c>
    </row>
    <row r="1875" spans="1:5" hidden="1" x14ac:dyDescent="0.25">
      <c r="A1875">
        <v>36</v>
      </c>
      <c r="B1875">
        <v>1</v>
      </c>
      <c r="C1875" t="s">
        <v>39</v>
      </c>
      <c r="D1875" s="4">
        <v>0</v>
      </c>
      <c r="E1875" t="s">
        <v>39</v>
      </c>
    </row>
    <row r="1876" spans="1:5" x14ac:dyDescent="0.25">
      <c r="A1876">
        <v>36</v>
      </c>
      <c r="B1876">
        <v>1</v>
      </c>
      <c r="C1876" t="s">
        <v>1353</v>
      </c>
      <c r="D1876" s="5">
        <v>0</v>
      </c>
      <c r="E1876" t="s">
        <v>1354</v>
      </c>
    </row>
    <row r="1877" spans="1:5" hidden="1" x14ac:dyDescent="0.25">
      <c r="A1877">
        <v>36</v>
      </c>
      <c r="B1877">
        <v>1</v>
      </c>
      <c r="C1877" t="s">
        <v>39</v>
      </c>
      <c r="D1877" s="4">
        <v>0</v>
      </c>
      <c r="E1877" t="s">
        <v>39</v>
      </c>
    </row>
    <row r="1878" spans="1:5" x14ac:dyDescent="0.25">
      <c r="A1878">
        <v>36</v>
      </c>
      <c r="B1878">
        <v>1</v>
      </c>
      <c r="C1878" t="s">
        <v>1355</v>
      </c>
      <c r="D1878" s="5">
        <v>0</v>
      </c>
      <c r="E1878" t="s">
        <v>2568</v>
      </c>
    </row>
    <row r="1879" spans="1:5" hidden="1" x14ac:dyDescent="0.25">
      <c r="A1879">
        <v>36</v>
      </c>
      <c r="B1879">
        <v>1</v>
      </c>
      <c r="C1879" t="s">
        <v>39</v>
      </c>
      <c r="D1879" s="4">
        <v>0</v>
      </c>
      <c r="E1879" t="s">
        <v>39</v>
      </c>
    </row>
    <row r="1880" spans="1:5" hidden="1" x14ac:dyDescent="0.25">
      <c r="A1880">
        <v>36</v>
      </c>
      <c r="B1880">
        <v>4</v>
      </c>
      <c r="C1880" t="s">
        <v>39</v>
      </c>
      <c r="D1880" s="4">
        <v>0</v>
      </c>
      <c r="E1880" t="s">
        <v>39</v>
      </c>
    </row>
    <row r="1881" spans="1:5" x14ac:dyDescent="0.25">
      <c r="A1881">
        <v>36</v>
      </c>
      <c r="B1881">
        <v>4</v>
      </c>
      <c r="C1881" t="s">
        <v>1356</v>
      </c>
      <c r="D1881" s="5">
        <v>0</v>
      </c>
      <c r="E1881" t="s">
        <v>1357</v>
      </c>
    </row>
    <row r="1882" spans="1:5" hidden="1" x14ac:dyDescent="0.25">
      <c r="A1882">
        <v>36</v>
      </c>
      <c r="B1882">
        <v>4</v>
      </c>
      <c r="C1882" t="s">
        <v>39</v>
      </c>
      <c r="D1882" s="4">
        <v>0</v>
      </c>
      <c r="E1882" t="s">
        <v>39</v>
      </c>
    </row>
    <row r="1883" spans="1:5" x14ac:dyDescent="0.25">
      <c r="A1883">
        <v>36</v>
      </c>
      <c r="B1883">
        <v>4</v>
      </c>
      <c r="C1883" t="s">
        <v>1358</v>
      </c>
      <c r="D1883" s="5">
        <v>0</v>
      </c>
      <c r="E1883" t="s">
        <v>2569</v>
      </c>
    </row>
    <row r="1884" spans="1:5" hidden="1" x14ac:dyDescent="0.25">
      <c r="A1884">
        <v>36</v>
      </c>
      <c r="B1884">
        <v>4</v>
      </c>
      <c r="C1884" t="s">
        <v>39</v>
      </c>
      <c r="D1884" s="4">
        <v>0</v>
      </c>
      <c r="E1884" t="s">
        <v>39</v>
      </c>
    </row>
    <row r="1885" spans="1:5" x14ac:dyDescent="0.25">
      <c r="A1885">
        <v>36</v>
      </c>
      <c r="B1885">
        <v>4</v>
      </c>
      <c r="C1885" t="s">
        <v>1359</v>
      </c>
      <c r="D1885" s="5">
        <v>0</v>
      </c>
      <c r="E1885" t="s">
        <v>1360</v>
      </c>
    </row>
    <row r="1886" spans="1:5" hidden="1" x14ac:dyDescent="0.25">
      <c r="A1886">
        <v>36</v>
      </c>
      <c r="B1886">
        <v>4</v>
      </c>
      <c r="C1886" t="s">
        <v>39</v>
      </c>
      <c r="D1886" s="4">
        <v>0</v>
      </c>
      <c r="E1886" t="s">
        <v>39</v>
      </c>
    </row>
    <row r="1887" spans="1:5" x14ac:dyDescent="0.25">
      <c r="A1887">
        <v>36</v>
      </c>
      <c r="B1887">
        <v>4</v>
      </c>
      <c r="C1887" t="s">
        <v>1361</v>
      </c>
      <c r="D1887" s="5">
        <v>0</v>
      </c>
      <c r="E1887" t="s">
        <v>1362</v>
      </c>
    </row>
    <row r="1888" spans="1:5" hidden="1" x14ac:dyDescent="0.25">
      <c r="A1888">
        <v>36</v>
      </c>
      <c r="B1888">
        <v>4</v>
      </c>
      <c r="C1888" t="s">
        <v>39</v>
      </c>
      <c r="D1888" s="4">
        <v>0</v>
      </c>
      <c r="E1888" t="s">
        <v>39</v>
      </c>
    </row>
    <row r="1889" spans="1:5" hidden="1" x14ac:dyDescent="0.25">
      <c r="A1889">
        <v>36</v>
      </c>
      <c r="B1889">
        <v>7</v>
      </c>
      <c r="C1889" t="s">
        <v>39</v>
      </c>
      <c r="D1889" s="4">
        <v>0</v>
      </c>
      <c r="E1889" t="s">
        <v>39</v>
      </c>
    </row>
    <row r="1890" spans="1:5" x14ac:dyDescent="0.25">
      <c r="A1890">
        <v>36</v>
      </c>
      <c r="B1890">
        <v>7</v>
      </c>
      <c r="C1890" t="s">
        <v>1363</v>
      </c>
      <c r="D1890" s="5">
        <v>0</v>
      </c>
      <c r="E1890" t="s">
        <v>1364</v>
      </c>
    </row>
    <row r="1891" spans="1:5" hidden="1" x14ac:dyDescent="0.25">
      <c r="A1891">
        <v>36</v>
      </c>
      <c r="B1891">
        <v>7</v>
      </c>
      <c r="C1891" t="s">
        <v>39</v>
      </c>
      <c r="D1891" s="4">
        <v>0</v>
      </c>
      <c r="E1891" t="s">
        <v>39</v>
      </c>
    </row>
    <row r="1892" spans="1:5" x14ac:dyDescent="0.25">
      <c r="A1892">
        <v>36</v>
      </c>
      <c r="B1892">
        <v>7</v>
      </c>
      <c r="C1892" t="s">
        <v>1365</v>
      </c>
      <c r="D1892" s="5">
        <v>0</v>
      </c>
      <c r="E1892" t="s">
        <v>1366</v>
      </c>
    </row>
    <row r="1893" spans="1:5" hidden="1" x14ac:dyDescent="0.25">
      <c r="A1893">
        <v>36</v>
      </c>
      <c r="B1893">
        <v>7</v>
      </c>
      <c r="C1893" t="s">
        <v>39</v>
      </c>
      <c r="D1893" s="4">
        <v>0</v>
      </c>
      <c r="E1893" t="s">
        <v>39</v>
      </c>
    </row>
    <row r="1894" spans="1:5" x14ac:dyDescent="0.25">
      <c r="A1894">
        <v>36</v>
      </c>
      <c r="B1894">
        <v>7</v>
      </c>
      <c r="C1894" t="s">
        <v>1367</v>
      </c>
      <c r="D1894" s="5">
        <v>0</v>
      </c>
      <c r="E1894" t="s">
        <v>1368</v>
      </c>
    </row>
    <row r="1895" spans="1:5" hidden="1" x14ac:dyDescent="0.25">
      <c r="A1895">
        <v>36</v>
      </c>
      <c r="B1895">
        <v>7</v>
      </c>
      <c r="C1895" t="s">
        <v>39</v>
      </c>
      <c r="D1895" s="4">
        <v>0</v>
      </c>
      <c r="E1895" t="s">
        <v>39</v>
      </c>
    </row>
    <row r="1896" spans="1:5" hidden="1" x14ac:dyDescent="0.25">
      <c r="A1896">
        <v>36</v>
      </c>
      <c r="B1896">
        <v>10</v>
      </c>
      <c r="C1896" t="s">
        <v>39</v>
      </c>
      <c r="D1896" s="4">
        <v>0</v>
      </c>
      <c r="E1896" t="s">
        <v>39</v>
      </c>
    </row>
    <row r="1897" spans="1:5" x14ac:dyDescent="0.25">
      <c r="A1897">
        <v>36</v>
      </c>
      <c r="B1897">
        <v>10</v>
      </c>
      <c r="C1897" t="s">
        <v>1369</v>
      </c>
      <c r="D1897" s="5">
        <v>0</v>
      </c>
      <c r="E1897" t="s">
        <v>1370</v>
      </c>
    </row>
    <row r="1898" spans="1:5" hidden="1" x14ac:dyDescent="0.25">
      <c r="A1898">
        <v>36</v>
      </c>
      <c r="B1898">
        <v>10</v>
      </c>
      <c r="C1898" t="s">
        <v>39</v>
      </c>
      <c r="D1898" s="4">
        <v>0</v>
      </c>
      <c r="E1898" t="s">
        <v>39</v>
      </c>
    </row>
    <row r="1899" spans="1:5" x14ac:dyDescent="0.25">
      <c r="A1899">
        <v>36</v>
      </c>
      <c r="B1899">
        <v>10</v>
      </c>
      <c r="C1899" t="s">
        <v>1371</v>
      </c>
      <c r="D1899" s="5">
        <v>0</v>
      </c>
      <c r="E1899" t="s">
        <v>1372</v>
      </c>
    </row>
    <row r="1900" spans="1:5" hidden="1" x14ac:dyDescent="0.25">
      <c r="A1900">
        <v>36</v>
      </c>
      <c r="B1900">
        <v>10</v>
      </c>
      <c r="C1900" t="s">
        <v>39</v>
      </c>
      <c r="D1900" s="4">
        <v>0</v>
      </c>
      <c r="E1900" t="s">
        <v>39</v>
      </c>
    </row>
    <row r="1901" spans="1:5" hidden="1" x14ac:dyDescent="0.25">
      <c r="A1901">
        <v>36</v>
      </c>
      <c r="B1901">
        <v>13</v>
      </c>
      <c r="C1901" t="s">
        <v>39</v>
      </c>
      <c r="D1901" s="4">
        <v>0</v>
      </c>
      <c r="E1901" t="s">
        <v>39</v>
      </c>
    </row>
    <row r="1902" spans="1:5" x14ac:dyDescent="0.25">
      <c r="A1902">
        <v>36</v>
      </c>
      <c r="B1902">
        <v>13</v>
      </c>
      <c r="C1902" t="s">
        <v>1373</v>
      </c>
      <c r="D1902" s="5">
        <v>0</v>
      </c>
      <c r="E1902" t="s">
        <v>1374</v>
      </c>
    </row>
    <row r="1903" spans="1:5" hidden="1" x14ac:dyDescent="0.25">
      <c r="A1903">
        <v>36</v>
      </c>
      <c r="B1903">
        <v>13</v>
      </c>
      <c r="C1903" t="s">
        <v>39</v>
      </c>
      <c r="D1903" s="4">
        <v>0</v>
      </c>
      <c r="E1903" t="s">
        <v>39</v>
      </c>
    </row>
    <row r="1904" spans="1:5" x14ac:dyDescent="0.25">
      <c r="A1904">
        <v>36</v>
      </c>
      <c r="B1904">
        <v>13</v>
      </c>
      <c r="C1904" t="s">
        <v>1375</v>
      </c>
      <c r="D1904" s="5">
        <v>0</v>
      </c>
      <c r="E1904" t="s">
        <v>2570</v>
      </c>
    </row>
    <row r="1905" spans="1:5" hidden="1" x14ac:dyDescent="0.25">
      <c r="A1905">
        <v>36</v>
      </c>
      <c r="B1905">
        <v>13</v>
      </c>
      <c r="C1905" t="s">
        <v>39</v>
      </c>
      <c r="D1905" s="4">
        <v>0</v>
      </c>
      <c r="E1905" t="s">
        <v>39</v>
      </c>
    </row>
    <row r="1906" spans="1:5" x14ac:dyDescent="0.25">
      <c r="A1906">
        <v>36</v>
      </c>
      <c r="B1906">
        <v>13</v>
      </c>
      <c r="C1906" t="s">
        <v>1376</v>
      </c>
      <c r="D1906" s="5">
        <v>0</v>
      </c>
      <c r="E1906" t="s">
        <v>1377</v>
      </c>
    </row>
    <row r="1907" spans="1:5" hidden="1" x14ac:dyDescent="0.25">
      <c r="A1907">
        <v>36</v>
      </c>
      <c r="B1907">
        <v>13</v>
      </c>
      <c r="C1907" t="s">
        <v>39</v>
      </c>
      <c r="D1907" s="4">
        <v>0</v>
      </c>
      <c r="E1907" t="s">
        <v>39</v>
      </c>
    </row>
    <row r="1908" spans="1:5" hidden="1" x14ac:dyDescent="0.25">
      <c r="A1908">
        <v>36</v>
      </c>
      <c r="B1908">
        <v>16</v>
      </c>
      <c r="C1908" t="s">
        <v>39</v>
      </c>
      <c r="D1908" s="4">
        <v>0</v>
      </c>
      <c r="E1908" t="s">
        <v>39</v>
      </c>
    </row>
    <row r="1909" spans="1:5" x14ac:dyDescent="0.25">
      <c r="A1909">
        <v>36</v>
      </c>
      <c r="B1909">
        <v>16</v>
      </c>
      <c r="C1909" t="s">
        <v>1378</v>
      </c>
      <c r="D1909" s="5">
        <v>0</v>
      </c>
      <c r="E1909" t="s">
        <v>1379</v>
      </c>
    </row>
    <row r="1910" spans="1:5" hidden="1" x14ac:dyDescent="0.25">
      <c r="A1910">
        <v>36</v>
      </c>
      <c r="B1910">
        <v>16</v>
      </c>
      <c r="C1910" t="s">
        <v>39</v>
      </c>
      <c r="D1910" s="4">
        <v>0</v>
      </c>
      <c r="E1910" t="s">
        <v>39</v>
      </c>
    </row>
    <row r="1911" spans="1:5" x14ac:dyDescent="0.25">
      <c r="A1911">
        <v>36</v>
      </c>
      <c r="B1911">
        <v>16</v>
      </c>
      <c r="C1911" t="s">
        <v>1380</v>
      </c>
      <c r="D1911" s="5">
        <v>0</v>
      </c>
      <c r="E1911" t="s">
        <v>2571</v>
      </c>
    </row>
    <row r="1912" spans="1:5" hidden="1" x14ac:dyDescent="0.25">
      <c r="A1912">
        <v>36</v>
      </c>
      <c r="B1912">
        <v>16</v>
      </c>
      <c r="C1912" t="s">
        <v>39</v>
      </c>
      <c r="D1912" s="4">
        <v>0</v>
      </c>
      <c r="E1912" t="s">
        <v>39</v>
      </c>
    </row>
    <row r="1913" spans="1:5" x14ac:dyDescent="0.25">
      <c r="A1913">
        <v>36</v>
      </c>
      <c r="B1913">
        <v>16</v>
      </c>
      <c r="C1913" t="s">
        <v>1381</v>
      </c>
      <c r="D1913" s="5">
        <v>0</v>
      </c>
      <c r="E1913" t="s">
        <v>2572</v>
      </c>
    </row>
    <row r="1914" spans="1:5" hidden="1" x14ac:dyDescent="0.25">
      <c r="A1914">
        <v>36</v>
      </c>
      <c r="B1914">
        <v>16</v>
      </c>
      <c r="C1914" t="s">
        <v>39</v>
      </c>
      <c r="D1914" s="4">
        <v>0</v>
      </c>
      <c r="E1914" t="s">
        <v>39</v>
      </c>
    </row>
    <row r="1915" spans="1:5" hidden="1" x14ac:dyDescent="0.25">
      <c r="A1915">
        <v>36</v>
      </c>
      <c r="B1915">
        <v>20</v>
      </c>
      <c r="C1915" t="s">
        <v>39</v>
      </c>
      <c r="D1915" s="4">
        <v>0</v>
      </c>
      <c r="E1915" t="s">
        <v>39</v>
      </c>
    </row>
    <row r="1916" spans="1:5" x14ac:dyDescent="0.25">
      <c r="A1916">
        <v>36</v>
      </c>
      <c r="B1916">
        <v>20</v>
      </c>
      <c r="C1916" t="s">
        <v>1382</v>
      </c>
      <c r="D1916" s="5">
        <v>0</v>
      </c>
      <c r="E1916" t="s">
        <v>2573</v>
      </c>
    </row>
    <row r="1917" spans="1:5" hidden="1" x14ac:dyDescent="0.25">
      <c r="A1917">
        <v>36</v>
      </c>
      <c r="B1917">
        <v>20</v>
      </c>
      <c r="C1917" t="s">
        <v>39</v>
      </c>
      <c r="D1917" s="4">
        <v>0</v>
      </c>
      <c r="E1917" t="s">
        <v>39</v>
      </c>
    </row>
    <row r="1918" spans="1:5" x14ac:dyDescent="0.25">
      <c r="A1918">
        <v>36</v>
      </c>
      <c r="B1918">
        <v>20</v>
      </c>
      <c r="C1918" t="s">
        <v>1383</v>
      </c>
      <c r="D1918" s="5">
        <v>0</v>
      </c>
      <c r="E1918" t="s">
        <v>1384</v>
      </c>
    </row>
    <row r="1919" spans="1:5" hidden="1" x14ac:dyDescent="0.25">
      <c r="A1919">
        <v>36</v>
      </c>
      <c r="B1919">
        <v>20</v>
      </c>
      <c r="C1919" t="s">
        <v>39</v>
      </c>
      <c r="D1919" s="4">
        <v>0</v>
      </c>
      <c r="E1919" t="s">
        <v>39</v>
      </c>
    </row>
    <row r="1920" spans="1:5" x14ac:dyDescent="0.25">
      <c r="A1920">
        <v>36</v>
      </c>
      <c r="B1920">
        <v>20</v>
      </c>
      <c r="C1920" t="s">
        <v>80</v>
      </c>
      <c r="D1920" s="5">
        <v>60</v>
      </c>
      <c r="E1920" t="s">
        <v>81</v>
      </c>
    </row>
    <row r="1921" spans="1:5" hidden="1" x14ac:dyDescent="0.25">
      <c r="A1921">
        <v>36</v>
      </c>
      <c r="B1921">
        <v>20</v>
      </c>
      <c r="C1921" t="s">
        <v>39</v>
      </c>
      <c r="D1921" s="4">
        <v>0</v>
      </c>
      <c r="E1921" t="s">
        <v>39</v>
      </c>
    </row>
    <row r="1922" spans="1:5" hidden="1" x14ac:dyDescent="0.25">
      <c r="A1922">
        <v>36</v>
      </c>
      <c r="B1922">
        <v>20</v>
      </c>
      <c r="C1922" t="s">
        <v>39</v>
      </c>
      <c r="D1922" s="4">
        <v>0</v>
      </c>
      <c r="E1922" t="s">
        <v>39</v>
      </c>
    </row>
    <row r="1923" spans="1:5" x14ac:dyDescent="0.25">
      <c r="A1923">
        <v>36</v>
      </c>
      <c r="B1923">
        <v>20</v>
      </c>
      <c r="C1923" t="s">
        <v>1385</v>
      </c>
      <c r="D1923" s="5">
        <v>60</v>
      </c>
      <c r="E1923" t="s">
        <v>1386</v>
      </c>
    </row>
    <row r="1924" spans="1:5" x14ac:dyDescent="0.25">
      <c r="A1924">
        <v>37</v>
      </c>
      <c r="B1924">
        <v>1</v>
      </c>
      <c r="C1924" t="s">
        <v>1387</v>
      </c>
      <c r="D1924" s="5">
        <v>0</v>
      </c>
      <c r="E1924" t="s">
        <v>1388</v>
      </c>
    </row>
    <row r="1925" spans="1:5" hidden="1" x14ac:dyDescent="0.25">
      <c r="A1925">
        <v>37</v>
      </c>
      <c r="B1925">
        <v>1</v>
      </c>
      <c r="C1925" t="s">
        <v>39</v>
      </c>
      <c r="D1925" s="4">
        <v>0</v>
      </c>
      <c r="E1925" t="s">
        <v>39</v>
      </c>
    </row>
    <row r="1926" spans="1:5" x14ac:dyDescent="0.25">
      <c r="A1926">
        <v>37</v>
      </c>
      <c r="B1926">
        <v>1</v>
      </c>
      <c r="C1926" t="s">
        <v>86</v>
      </c>
      <c r="D1926" s="5">
        <v>0</v>
      </c>
      <c r="E1926" t="s">
        <v>1420</v>
      </c>
    </row>
    <row r="1927" spans="1:5" hidden="1" x14ac:dyDescent="0.25">
      <c r="A1927">
        <v>37</v>
      </c>
      <c r="B1927">
        <v>1</v>
      </c>
      <c r="C1927" t="s">
        <v>39</v>
      </c>
      <c r="D1927" s="4">
        <v>0</v>
      </c>
      <c r="E1927" t="s">
        <v>39</v>
      </c>
    </row>
    <row r="1928" spans="1:5" x14ac:dyDescent="0.25">
      <c r="A1928">
        <v>37</v>
      </c>
      <c r="B1928">
        <v>1</v>
      </c>
      <c r="C1928" t="s">
        <v>1102</v>
      </c>
      <c r="D1928" s="5">
        <v>45</v>
      </c>
      <c r="E1928" t="s">
        <v>1103</v>
      </c>
    </row>
    <row r="1929" spans="1:5" hidden="1" x14ac:dyDescent="0.25">
      <c r="A1929">
        <v>37</v>
      </c>
      <c r="B1929">
        <v>1</v>
      </c>
      <c r="C1929" t="s">
        <v>39</v>
      </c>
      <c r="D1929" s="4">
        <v>0</v>
      </c>
      <c r="E1929" t="s">
        <v>39</v>
      </c>
    </row>
    <row r="1930" spans="1:5" hidden="1" x14ac:dyDescent="0.25">
      <c r="A1930">
        <v>37</v>
      </c>
      <c r="B1930">
        <v>1</v>
      </c>
      <c r="C1930" t="s">
        <v>39</v>
      </c>
      <c r="D1930" s="4">
        <v>0</v>
      </c>
      <c r="E1930" t="s">
        <v>39</v>
      </c>
    </row>
    <row r="1931" spans="1:5" hidden="1" x14ac:dyDescent="0.25">
      <c r="A1931">
        <v>37</v>
      </c>
      <c r="B1931">
        <v>4</v>
      </c>
      <c r="C1931" t="s">
        <v>39</v>
      </c>
      <c r="D1931" s="4">
        <v>0</v>
      </c>
      <c r="E1931" t="s">
        <v>39</v>
      </c>
    </row>
    <row r="1932" spans="1:5" x14ac:dyDescent="0.25">
      <c r="A1932">
        <v>37</v>
      </c>
      <c r="B1932">
        <v>4</v>
      </c>
      <c r="C1932" t="s">
        <v>1389</v>
      </c>
      <c r="D1932" s="5">
        <v>0</v>
      </c>
      <c r="E1932" t="s">
        <v>1390</v>
      </c>
    </row>
    <row r="1933" spans="1:5" hidden="1" x14ac:dyDescent="0.25">
      <c r="A1933">
        <v>37</v>
      </c>
      <c r="B1933">
        <v>4</v>
      </c>
      <c r="C1933" t="s">
        <v>39</v>
      </c>
      <c r="D1933" s="4">
        <v>0</v>
      </c>
      <c r="E1933" t="s">
        <v>39</v>
      </c>
    </row>
    <row r="1934" spans="1:5" x14ac:dyDescent="0.25">
      <c r="A1934">
        <v>37</v>
      </c>
      <c r="B1934">
        <v>4</v>
      </c>
      <c r="C1934" t="s">
        <v>1391</v>
      </c>
      <c r="D1934" s="5">
        <v>0</v>
      </c>
      <c r="E1934" t="s">
        <v>1392</v>
      </c>
    </row>
    <row r="1935" spans="1:5" hidden="1" x14ac:dyDescent="0.25">
      <c r="A1935">
        <v>37</v>
      </c>
      <c r="B1935">
        <v>4</v>
      </c>
      <c r="C1935" t="s">
        <v>39</v>
      </c>
      <c r="D1935" s="4">
        <v>0</v>
      </c>
      <c r="E1935" t="s">
        <v>39</v>
      </c>
    </row>
    <row r="1936" spans="1:5" x14ac:dyDescent="0.25">
      <c r="A1936">
        <v>37</v>
      </c>
      <c r="B1936">
        <v>4</v>
      </c>
      <c r="C1936" t="s">
        <v>1393</v>
      </c>
      <c r="D1936" s="5">
        <v>0</v>
      </c>
      <c r="E1936" t="s">
        <v>1394</v>
      </c>
    </row>
    <row r="1937" spans="1:5" hidden="1" x14ac:dyDescent="0.25">
      <c r="A1937">
        <v>37</v>
      </c>
      <c r="B1937">
        <v>4</v>
      </c>
      <c r="C1937" t="s">
        <v>39</v>
      </c>
      <c r="D1937" s="4">
        <v>0</v>
      </c>
      <c r="E1937" t="s">
        <v>39</v>
      </c>
    </row>
    <row r="1938" spans="1:5" x14ac:dyDescent="0.25">
      <c r="A1938">
        <v>37</v>
      </c>
      <c r="B1938">
        <v>4</v>
      </c>
      <c r="C1938" t="s">
        <v>1395</v>
      </c>
      <c r="D1938" s="5">
        <v>0</v>
      </c>
      <c r="E1938" t="s">
        <v>1396</v>
      </c>
    </row>
    <row r="1939" spans="1:5" hidden="1" x14ac:dyDescent="0.25">
      <c r="A1939">
        <v>37</v>
      </c>
      <c r="B1939">
        <v>4</v>
      </c>
      <c r="C1939" t="s">
        <v>39</v>
      </c>
      <c r="D1939" s="4">
        <v>0</v>
      </c>
      <c r="E1939" t="s">
        <v>39</v>
      </c>
    </row>
    <row r="1940" spans="1:5" hidden="1" x14ac:dyDescent="0.25">
      <c r="A1940">
        <v>37</v>
      </c>
      <c r="B1940">
        <v>7</v>
      </c>
      <c r="C1940" t="s">
        <v>39</v>
      </c>
      <c r="D1940" s="4">
        <v>0</v>
      </c>
      <c r="E1940" t="s">
        <v>39</v>
      </c>
    </row>
    <row r="1941" spans="1:5" x14ac:dyDescent="0.25">
      <c r="A1941">
        <v>37</v>
      </c>
      <c r="B1941">
        <v>7</v>
      </c>
      <c r="C1941" t="s">
        <v>1397</v>
      </c>
      <c r="D1941" s="5">
        <v>0</v>
      </c>
      <c r="E1941" t="s">
        <v>1398</v>
      </c>
    </row>
    <row r="1942" spans="1:5" hidden="1" x14ac:dyDescent="0.25">
      <c r="A1942">
        <v>37</v>
      </c>
      <c r="B1942">
        <v>7</v>
      </c>
      <c r="C1942" t="s">
        <v>39</v>
      </c>
      <c r="D1942" s="4">
        <v>0</v>
      </c>
      <c r="E1942" t="s">
        <v>39</v>
      </c>
    </row>
    <row r="1943" spans="1:5" x14ac:dyDescent="0.25">
      <c r="A1943">
        <v>37</v>
      </c>
      <c r="B1943">
        <v>7</v>
      </c>
      <c r="C1943" t="s">
        <v>1399</v>
      </c>
      <c r="D1943" s="5">
        <v>0</v>
      </c>
      <c r="E1943" t="s">
        <v>1400</v>
      </c>
    </row>
    <row r="1944" spans="1:5" hidden="1" x14ac:dyDescent="0.25">
      <c r="A1944">
        <v>37</v>
      </c>
      <c r="B1944">
        <v>7</v>
      </c>
      <c r="C1944" t="s">
        <v>39</v>
      </c>
      <c r="D1944" s="4">
        <v>0</v>
      </c>
      <c r="E1944" t="s">
        <v>39</v>
      </c>
    </row>
    <row r="1945" spans="1:5" x14ac:dyDescent="0.25">
      <c r="A1945">
        <v>37</v>
      </c>
      <c r="B1945">
        <v>7</v>
      </c>
      <c r="C1945" t="s">
        <v>1401</v>
      </c>
      <c r="D1945" s="5">
        <v>0</v>
      </c>
      <c r="E1945" t="s">
        <v>1402</v>
      </c>
    </row>
    <row r="1946" spans="1:5" hidden="1" x14ac:dyDescent="0.25">
      <c r="A1946">
        <v>37</v>
      </c>
      <c r="B1946">
        <v>7</v>
      </c>
      <c r="C1946" t="s">
        <v>39</v>
      </c>
      <c r="D1946" s="4">
        <v>0</v>
      </c>
      <c r="E1946" t="s">
        <v>39</v>
      </c>
    </row>
    <row r="1947" spans="1:5" x14ac:dyDescent="0.25">
      <c r="A1947">
        <v>37</v>
      </c>
      <c r="B1947">
        <v>7</v>
      </c>
      <c r="C1947" t="s">
        <v>2574</v>
      </c>
      <c r="D1947" s="5">
        <v>0</v>
      </c>
      <c r="E1947" t="s">
        <v>1403</v>
      </c>
    </row>
    <row r="1948" spans="1:5" hidden="1" x14ac:dyDescent="0.25">
      <c r="A1948">
        <v>37</v>
      </c>
      <c r="B1948">
        <v>7</v>
      </c>
      <c r="C1948" t="s">
        <v>39</v>
      </c>
      <c r="D1948" s="4">
        <v>0</v>
      </c>
      <c r="E1948" t="s">
        <v>39</v>
      </c>
    </row>
    <row r="1949" spans="1:5" hidden="1" x14ac:dyDescent="0.25">
      <c r="A1949">
        <v>37</v>
      </c>
      <c r="B1949">
        <v>10</v>
      </c>
      <c r="C1949" t="s">
        <v>39</v>
      </c>
      <c r="D1949" s="4">
        <v>0</v>
      </c>
      <c r="E1949" t="s">
        <v>39</v>
      </c>
    </row>
    <row r="1950" spans="1:5" x14ac:dyDescent="0.25">
      <c r="A1950">
        <v>37</v>
      </c>
      <c r="B1950">
        <v>10</v>
      </c>
      <c r="C1950" t="s">
        <v>1404</v>
      </c>
      <c r="D1950" s="5">
        <v>0</v>
      </c>
      <c r="E1950" t="s">
        <v>1405</v>
      </c>
    </row>
    <row r="1951" spans="1:5" hidden="1" x14ac:dyDescent="0.25">
      <c r="A1951">
        <v>37</v>
      </c>
      <c r="B1951">
        <v>10</v>
      </c>
      <c r="C1951" t="s">
        <v>39</v>
      </c>
      <c r="D1951" s="4">
        <v>0</v>
      </c>
      <c r="E1951" t="s">
        <v>39</v>
      </c>
    </row>
    <row r="1952" spans="1:5" x14ac:dyDescent="0.25">
      <c r="A1952">
        <v>37</v>
      </c>
      <c r="B1952">
        <v>10</v>
      </c>
      <c r="C1952" t="s">
        <v>2575</v>
      </c>
      <c r="D1952" s="5">
        <v>0</v>
      </c>
      <c r="E1952" t="s">
        <v>1406</v>
      </c>
    </row>
    <row r="1953" spans="1:5" hidden="1" x14ac:dyDescent="0.25">
      <c r="A1953">
        <v>37</v>
      </c>
      <c r="B1953">
        <v>10</v>
      </c>
      <c r="C1953" t="s">
        <v>39</v>
      </c>
      <c r="D1953" s="4">
        <v>0</v>
      </c>
      <c r="E1953" t="s">
        <v>39</v>
      </c>
    </row>
    <row r="1954" spans="1:5" hidden="1" x14ac:dyDescent="0.25">
      <c r="A1954">
        <v>37</v>
      </c>
      <c r="B1954">
        <v>13</v>
      </c>
      <c r="C1954" t="s">
        <v>39</v>
      </c>
      <c r="D1954" s="4">
        <v>0</v>
      </c>
      <c r="E1954" t="s">
        <v>39</v>
      </c>
    </row>
    <row r="1955" spans="1:5" x14ac:dyDescent="0.25">
      <c r="A1955">
        <v>37</v>
      </c>
      <c r="B1955">
        <v>13</v>
      </c>
      <c r="C1955" t="s">
        <v>537</v>
      </c>
      <c r="D1955" s="5">
        <v>0</v>
      </c>
      <c r="E1955" t="s">
        <v>2455</v>
      </c>
    </row>
    <row r="1956" spans="1:5" hidden="1" x14ac:dyDescent="0.25">
      <c r="A1956">
        <v>37</v>
      </c>
      <c r="B1956">
        <v>13</v>
      </c>
      <c r="C1956" t="s">
        <v>39</v>
      </c>
      <c r="D1956" s="4">
        <v>0</v>
      </c>
      <c r="E1956" t="s">
        <v>39</v>
      </c>
    </row>
    <row r="1957" spans="1:5" x14ac:dyDescent="0.25">
      <c r="A1957">
        <v>37</v>
      </c>
      <c r="B1957">
        <v>13</v>
      </c>
      <c r="C1957" t="s">
        <v>1407</v>
      </c>
      <c r="D1957" s="5">
        <v>0</v>
      </c>
      <c r="E1957" t="s">
        <v>1408</v>
      </c>
    </row>
    <row r="1958" spans="1:5" hidden="1" x14ac:dyDescent="0.25">
      <c r="A1958">
        <v>37</v>
      </c>
      <c r="B1958">
        <v>13</v>
      </c>
      <c r="C1958" t="s">
        <v>39</v>
      </c>
      <c r="D1958" s="4">
        <v>0</v>
      </c>
      <c r="E1958" t="s">
        <v>39</v>
      </c>
    </row>
    <row r="1959" spans="1:5" x14ac:dyDescent="0.25">
      <c r="A1959">
        <v>37</v>
      </c>
      <c r="B1959">
        <v>13</v>
      </c>
      <c r="C1959" t="s">
        <v>1409</v>
      </c>
      <c r="D1959" s="5">
        <v>0</v>
      </c>
      <c r="E1959" t="s">
        <v>2576</v>
      </c>
    </row>
    <row r="1960" spans="1:5" hidden="1" x14ac:dyDescent="0.25">
      <c r="A1960">
        <v>37</v>
      </c>
      <c r="B1960">
        <v>13</v>
      </c>
      <c r="C1960" t="s">
        <v>39</v>
      </c>
      <c r="D1960" s="4">
        <v>0</v>
      </c>
      <c r="E1960" t="s">
        <v>39</v>
      </c>
    </row>
    <row r="1961" spans="1:5" hidden="1" x14ac:dyDescent="0.25">
      <c r="A1961">
        <v>37</v>
      </c>
      <c r="B1961">
        <v>16</v>
      </c>
      <c r="C1961" t="s">
        <v>39</v>
      </c>
      <c r="D1961" s="4">
        <v>0</v>
      </c>
      <c r="E1961" t="s">
        <v>39</v>
      </c>
    </row>
    <row r="1962" spans="1:5" x14ac:dyDescent="0.25">
      <c r="A1962">
        <v>37</v>
      </c>
      <c r="B1962">
        <v>16</v>
      </c>
      <c r="C1962" t="s">
        <v>650</v>
      </c>
      <c r="D1962" s="5">
        <v>0</v>
      </c>
      <c r="E1962" t="s">
        <v>651</v>
      </c>
    </row>
    <row r="1963" spans="1:5" hidden="1" x14ac:dyDescent="0.25">
      <c r="A1963">
        <v>37</v>
      </c>
      <c r="B1963">
        <v>16</v>
      </c>
      <c r="C1963" t="s">
        <v>39</v>
      </c>
      <c r="D1963" s="4">
        <v>0</v>
      </c>
      <c r="E1963" t="s">
        <v>39</v>
      </c>
    </row>
    <row r="1964" spans="1:5" x14ac:dyDescent="0.25">
      <c r="A1964">
        <v>37</v>
      </c>
      <c r="B1964">
        <v>16</v>
      </c>
      <c r="C1964" t="s">
        <v>1410</v>
      </c>
      <c r="D1964" s="5">
        <v>0</v>
      </c>
      <c r="E1964" t="s">
        <v>1411</v>
      </c>
    </row>
    <row r="1965" spans="1:5" hidden="1" x14ac:dyDescent="0.25">
      <c r="A1965">
        <v>37</v>
      </c>
      <c r="B1965">
        <v>16</v>
      </c>
      <c r="C1965" t="s">
        <v>39</v>
      </c>
      <c r="D1965" s="4">
        <v>0</v>
      </c>
      <c r="E1965" t="s">
        <v>39</v>
      </c>
    </row>
    <row r="1966" spans="1:5" x14ac:dyDescent="0.25">
      <c r="A1966">
        <v>37</v>
      </c>
      <c r="B1966">
        <v>16</v>
      </c>
      <c r="C1966" t="s">
        <v>1412</v>
      </c>
      <c r="D1966" s="5">
        <v>0</v>
      </c>
      <c r="E1966" t="s">
        <v>1413</v>
      </c>
    </row>
    <row r="1967" spans="1:5" hidden="1" x14ac:dyDescent="0.25">
      <c r="A1967">
        <v>37</v>
      </c>
      <c r="B1967">
        <v>16</v>
      </c>
      <c r="C1967" t="s">
        <v>39</v>
      </c>
      <c r="D1967" s="4">
        <v>0</v>
      </c>
      <c r="E1967" t="s">
        <v>39</v>
      </c>
    </row>
    <row r="1968" spans="1:5" hidden="1" x14ac:dyDescent="0.25">
      <c r="A1968">
        <v>37</v>
      </c>
      <c r="B1968">
        <v>20</v>
      </c>
      <c r="C1968" t="s">
        <v>39</v>
      </c>
      <c r="D1968" s="4">
        <v>0</v>
      </c>
      <c r="E1968" t="s">
        <v>39</v>
      </c>
    </row>
    <row r="1969" spans="1:5" x14ac:dyDescent="0.25">
      <c r="A1969">
        <v>37</v>
      </c>
      <c r="B1969">
        <v>20</v>
      </c>
      <c r="C1969" t="s">
        <v>1414</v>
      </c>
      <c r="D1969" s="5">
        <v>0</v>
      </c>
      <c r="E1969" t="s">
        <v>1415</v>
      </c>
    </row>
    <row r="1970" spans="1:5" hidden="1" x14ac:dyDescent="0.25">
      <c r="A1970">
        <v>37</v>
      </c>
      <c r="B1970">
        <v>20</v>
      </c>
      <c r="C1970" t="s">
        <v>39</v>
      </c>
      <c r="D1970" s="4">
        <v>0</v>
      </c>
      <c r="E1970" t="s">
        <v>39</v>
      </c>
    </row>
    <row r="1971" spans="1:5" x14ac:dyDescent="0.25">
      <c r="A1971">
        <v>37</v>
      </c>
      <c r="B1971">
        <v>20</v>
      </c>
      <c r="C1971" t="s">
        <v>1416</v>
      </c>
      <c r="D1971" s="5">
        <v>0</v>
      </c>
      <c r="E1971" t="s">
        <v>1417</v>
      </c>
    </row>
    <row r="1972" spans="1:5" hidden="1" x14ac:dyDescent="0.25">
      <c r="A1972">
        <v>37</v>
      </c>
      <c r="B1972">
        <v>20</v>
      </c>
      <c r="C1972" t="s">
        <v>39</v>
      </c>
      <c r="D1972" s="4">
        <v>0</v>
      </c>
      <c r="E1972" t="s">
        <v>39</v>
      </c>
    </row>
    <row r="1973" spans="1:5" x14ac:dyDescent="0.25">
      <c r="A1973">
        <v>37</v>
      </c>
      <c r="B1973">
        <v>20</v>
      </c>
      <c r="C1973" t="s">
        <v>1418</v>
      </c>
      <c r="D1973" s="5">
        <v>0</v>
      </c>
      <c r="E1973" t="s">
        <v>1419</v>
      </c>
    </row>
    <row r="1974" spans="1:5" hidden="1" x14ac:dyDescent="0.25">
      <c r="A1974">
        <v>37</v>
      </c>
      <c r="B1974">
        <v>20</v>
      </c>
      <c r="C1974" t="s">
        <v>39</v>
      </c>
      <c r="D1974" s="4">
        <v>0</v>
      </c>
      <c r="E1974" t="s">
        <v>39</v>
      </c>
    </row>
    <row r="1975" spans="1:5" x14ac:dyDescent="0.25">
      <c r="A1975">
        <v>37</v>
      </c>
      <c r="B1975">
        <v>20</v>
      </c>
      <c r="C1975" t="s">
        <v>547</v>
      </c>
      <c r="D1975" s="5">
        <v>0</v>
      </c>
      <c r="E1975" t="s">
        <v>548</v>
      </c>
    </row>
    <row r="1976" spans="1:5" hidden="1" x14ac:dyDescent="0.25">
      <c r="A1976">
        <v>37</v>
      </c>
      <c r="B1976">
        <v>20</v>
      </c>
      <c r="C1976" t="s">
        <v>39</v>
      </c>
      <c r="D1976" s="4">
        <v>0</v>
      </c>
      <c r="E1976" t="s">
        <v>39</v>
      </c>
    </row>
    <row r="1977" spans="1:5" x14ac:dyDescent="0.25">
      <c r="A1977">
        <v>37</v>
      </c>
      <c r="B1977">
        <v>20</v>
      </c>
      <c r="C1977" t="s">
        <v>193</v>
      </c>
      <c r="D1977" s="5">
        <v>70</v>
      </c>
      <c r="E1977" t="s">
        <v>194</v>
      </c>
    </row>
    <row r="1978" spans="1:5" x14ac:dyDescent="0.25">
      <c r="A1978">
        <v>38</v>
      </c>
      <c r="B1978">
        <v>1</v>
      </c>
      <c r="C1978" t="s">
        <v>1421</v>
      </c>
      <c r="D1978" s="5">
        <v>0</v>
      </c>
      <c r="E1978" t="s">
        <v>1422</v>
      </c>
    </row>
    <row r="1979" spans="1:5" hidden="1" x14ac:dyDescent="0.25">
      <c r="A1979">
        <v>38</v>
      </c>
      <c r="B1979">
        <v>1</v>
      </c>
      <c r="C1979" t="s">
        <v>39</v>
      </c>
      <c r="D1979" s="4">
        <v>0</v>
      </c>
      <c r="E1979" t="s">
        <v>39</v>
      </c>
    </row>
    <row r="1980" spans="1:5" x14ac:dyDescent="0.25">
      <c r="A1980">
        <v>38</v>
      </c>
      <c r="B1980">
        <v>1</v>
      </c>
      <c r="C1980" t="s">
        <v>1423</v>
      </c>
      <c r="D1980" s="5">
        <v>0</v>
      </c>
      <c r="E1980" t="s">
        <v>1424</v>
      </c>
    </row>
    <row r="1981" spans="1:5" hidden="1" x14ac:dyDescent="0.25">
      <c r="A1981">
        <v>38</v>
      </c>
      <c r="B1981">
        <v>1</v>
      </c>
      <c r="C1981" t="s">
        <v>39</v>
      </c>
      <c r="D1981" s="4">
        <v>0</v>
      </c>
      <c r="E1981" t="s">
        <v>39</v>
      </c>
    </row>
    <row r="1982" spans="1:5" x14ac:dyDescent="0.25">
      <c r="A1982">
        <v>38</v>
      </c>
      <c r="B1982">
        <v>1</v>
      </c>
      <c r="C1982" t="s">
        <v>1425</v>
      </c>
      <c r="D1982" s="5">
        <v>0</v>
      </c>
      <c r="E1982" t="s">
        <v>1426</v>
      </c>
    </row>
    <row r="1983" spans="1:5" hidden="1" x14ac:dyDescent="0.25">
      <c r="A1983">
        <v>38</v>
      </c>
      <c r="B1983">
        <v>1</v>
      </c>
      <c r="C1983" t="s">
        <v>39</v>
      </c>
      <c r="D1983" s="4">
        <v>0</v>
      </c>
      <c r="E1983" t="s">
        <v>39</v>
      </c>
    </row>
    <row r="1984" spans="1:5" x14ac:dyDescent="0.25">
      <c r="A1984">
        <v>38</v>
      </c>
      <c r="B1984">
        <v>1</v>
      </c>
      <c r="C1984" t="s">
        <v>1427</v>
      </c>
      <c r="D1984" s="5">
        <v>0</v>
      </c>
      <c r="E1984" t="s">
        <v>1428</v>
      </c>
    </row>
    <row r="1985" spans="1:5" hidden="1" x14ac:dyDescent="0.25">
      <c r="A1985">
        <v>38</v>
      </c>
      <c r="B1985">
        <v>1</v>
      </c>
      <c r="C1985" t="s">
        <v>39</v>
      </c>
      <c r="D1985" s="4">
        <v>0</v>
      </c>
      <c r="E1985" t="s">
        <v>39</v>
      </c>
    </row>
    <row r="1986" spans="1:5" hidden="1" x14ac:dyDescent="0.25">
      <c r="A1986">
        <v>38</v>
      </c>
      <c r="B1986">
        <v>4</v>
      </c>
      <c r="C1986" t="s">
        <v>39</v>
      </c>
      <c r="D1986" s="4">
        <v>0</v>
      </c>
      <c r="E1986" t="s">
        <v>39</v>
      </c>
    </row>
    <row r="1987" spans="1:5" x14ac:dyDescent="0.25">
      <c r="A1987">
        <v>38</v>
      </c>
      <c r="B1987">
        <v>4</v>
      </c>
      <c r="C1987" t="s">
        <v>2577</v>
      </c>
      <c r="D1987" s="5">
        <v>0</v>
      </c>
      <c r="E1987" t="s">
        <v>2578</v>
      </c>
    </row>
    <row r="1988" spans="1:5" hidden="1" x14ac:dyDescent="0.25">
      <c r="A1988">
        <v>38</v>
      </c>
      <c r="B1988">
        <v>4</v>
      </c>
      <c r="C1988" t="s">
        <v>39</v>
      </c>
      <c r="D1988" s="4">
        <v>0</v>
      </c>
      <c r="E1988" t="s">
        <v>39</v>
      </c>
    </row>
    <row r="1989" spans="1:5" x14ac:dyDescent="0.25">
      <c r="A1989">
        <v>38</v>
      </c>
      <c r="B1989">
        <v>4</v>
      </c>
      <c r="C1989" t="s">
        <v>1429</v>
      </c>
      <c r="D1989" s="5">
        <v>0</v>
      </c>
      <c r="E1989" t="s">
        <v>1430</v>
      </c>
    </row>
    <row r="1990" spans="1:5" hidden="1" x14ac:dyDescent="0.25">
      <c r="A1990">
        <v>38</v>
      </c>
      <c r="B1990">
        <v>4</v>
      </c>
      <c r="C1990" t="s">
        <v>39</v>
      </c>
      <c r="D1990" s="4">
        <v>0</v>
      </c>
      <c r="E1990" t="s">
        <v>39</v>
      </c>
    </row>
    <row r="1991" spans="1:5" x14ac:dyDescent="0.25">
      <c r="A1991">
        <v>38</v>
      </c>
      <c r="B1991">
        <v>4</v>
      </c>
      <c r="C1991" t="s">
        <v>1431</v>
      </c>
      <c r="D1991" s="5">
        <v>0</v>
      </c>
      <c r="E1991" t="s">
        <v>2579</v>
      </c>
    </row>
    <row r="1992" spans="1:5" hidden="1" x14ac:dyDescent="0.25">
      <c r="A1992">
        <v>38</v>
      </c>
      <c r="B1992">
        <v>4</v>
      </c>
      <c r="C1992" t="s">
        <v>39</v>
      </c>
      <c r="D1992" s="4">
        <v>0</v>
      </c>
      <c r="E1992" t="s">
        <v>39</v>
      </c>
    </row>
    <row r="1993" spans="1:5" x14ac:dyDescent="0.25">
      <c r="A1993">
        <v>38</v>
      </c>
      <c r="B1993">
        <v>4</v>
      </c>
      <c r="C1993" t="s">
        <v>1432</v>
      </c>
      <c r="D1993" s="5">
        <v>0</v>
      </c>
      <c r="E1993" t="s">
        <v>1433</v>
      </c>
    </row>
    <row r="1994" spans="1:5" hidden="1" x14ac:dyDescent="0.25">
      <c r="A1994">
        <v>38</v>
      </c>
      <c r="B1994">
        <v>4</v>
      </c>
      <c r="C1994" t="s">
        <v>39</v>
      </c>
      <c r="D1994" s="4">
        <v>0</v>
      </c>
      <c r="E1994" t="s">
        <v>39</v>
      </c>
    </row>
    <row r="1995" spans="1:5" hidden="1" x14ac:dyDescent="0.25">
      <c r="A1995">
        <v>38</v>
      </c>
      <c r="B1995">
        <v>7</v>
      </c>
      <c r="C1995" t="s">
        <v>39</v>
      </c>
      <c r="D1995" s="4">
        <v>0</v>
      </c>
      <c r="E1995" t="s">
        <v>39</v>
      </c>
    </row>
    <row r="1996" spans="1:5" x14ac:dyDescent="0.25">
      <c r="A1996">
        <v>38</v>
      </c>
      <c r="B1996">
        <v>7</v>
      </c>
      <c r="C1996" t="s">
        <v>1434</v>
      </c>
      <c r="D1996" s="5">
        <v>0</v>
      </c>
      <c r="E1996" t="s">
        <v>1435</v>
      </c>
    </row>
    <row r="1997" spans="1:5" hidden="1" x14ac:dyDescent="0.25">
      <c r="A1997">
        <v>38</v>
      </c>
      <c r="B1997">
        <v>7</v>
      </c>
      <c r="C1997" t="s">
        <v>39</v>
      </c>
      <c r="D1997" s="4">
        <v>0</v>
      </c>
      <c r="E1997" t="s">
        <v>39</v>
      </c>
    </row>
    <row r="1998" spans="1:5" x14ac:dyDescent="0.25">
      <c r="A1998">
        <v>38</v>
      </c>
      <c r="B1998">
        <v>7</v>
      </c>
      <c r="C1998" t="s">
        <v>1436</v>
      </c>
      <c r="D1998" s="5">
        <v>0</v>
      </c>
      <c r="E1998" t="s">
        <v>1291</v>
      </c>
    </row>
    <row r="1999" spans="1:5" hidden="1" x14ac:dyDescent="0.25">
      <c r="A1999">
        <v>38</v>
      </c>
      <c r="B1999">
        <v>7</v>
      </c>
      <c r="C1999" t="s">
        <v>39</v>
      </c>
      <c r="D1999" s="4">
        <v>0</v>
      </c>
      <c r="E1999" t="s">
        <v>39</v>
      </c>
    </row>
    <row r="2000" spans="1:5" x14ac:dyDescent="0.25">
      <c r="A2000">
        <v>38</v>
      </c>
      <c r="B2000">
        <v>7</v>
      </c>
      <c r="C2000" t="s">
        <v>217</v>
      </c>
      <c r="D2000" s="5">
        <v>0</v>
      </c>
      <c r="E2000" t="s">
        <v>218</v>
      </c>
    </row>
    <row r="2001" spans="1:5" hidden="1" x14ac:dyDescent="0.25">
      <c r="A2001">
        <v>38</v>
      </c>
      <c r="B2001">
        <v>7</v>
      </c>
      <c r="C2001" t="s">
        <v>39</v>
      </c>
      <c r="D2001" s="4">
        <v>0</v>
      </c>
      <c r="E2001" t="s">
        <v>39</v>
      </c>
    </row>
    <row r="2002" spans="1:5" x14ac:dyDescent="0.25">
      <c r="A2002">
        <v>38</v>
      </c>
      <c r="B2002">
        <v>7</v>
      </c>
      <c r="C2002" t="s">
        <v>1437</v>
      </c>
      <c r="D2002" s="5">
        <v>0</v>
      </c>
      <c r="E2002" t="s">
        <v>1438</v>
      </c>
    </row>
    <row r="2003" spans="1:5" hidden="1" x14ac:dyDescent="0.25">
      <c r="A2003">
        <v>38</v>
      </c>
      <c r="B2003">
        <v>7</v>
      </c>
      <c r="C2003" t="s">
        <v>39</v>
      </c>
      <c r="D2003" s="4">
        <v>0</v>
      </c>
      <c r="E2003" t="s">
        <v>39</v>
      </c>
    </row>
    <row r="2004" spans="1:5" hidden="1" x14ac:dyDescent="0.25">
      <c r="A2004">
        <v>38</v>
      </c>
      <c r="B2004">
        <v>10</v>
      </c>
      <c r="C2004" t="s">
        <v>39</v>
      </c>
      <c r="D2004" s="4">
        <v>0</v>
      </c>
      <c r="E2004" t="s">
        <v>39</v>
      </c>
    </row>
    <row r="2005" spans="1:5" x14ac:dyDescent="0.25">
      <c r="A2005">
        <v>38</v>
      </c>
      <c r="B2005">
        <v>10</v>
      </c>
      <c r="C2005" t="s">
        <v>1439</v>
      </c>
      <c r="D2005" s="5">
        <v>0</v>
      </c>
      <c r="E2005" t="s">
        <v>1440</v>
      </c>
    </row>
    <row r="2006" spans="1:5" hidden="1" x14ac:dyDescent="0.25">
      <c r="A2006">
        <v>38</v>
      </c>
      <c r="B2006">
        <v>10</v>
      </c>
      <c r="C2006" t="s">
        <v>39</v>
      </c>
      <c r="D2006" s="4">
        <v>0</v>
      </c>
      <c r="E2006" t="s">
        <v>39</v>
      </c>
    </row>
    <row r="2007" spans="1:5" x14ac:dyDescent="0.25">
      <c r="A2007">
        <v>38</v>
      </c>
      <c r="B2007">
        <v>10</v>
      </c>
      <c r="C2007" t="s">
        <v>1441</v>
      </c>
      <c r="D2007" s="5">
        <v>0</v>
      </c>
      <c r="E2007" t="s">
        <v>1442</v>
      </c>
    </row>
    <row r="2008" spans="1:5" hidden="1" x14ac:dyDescent="0.25">
      <c r="A2008">
        <v>38</v>
      </c>
      <c r="B2008">
        <v>10</v>
      </c>
      <c r="C2008" t="s">
        <v>39</v>
      </c>
      <c r="D2008" s="4">
        <v>0</v>
      </c>
      <c r="E2008" t="s">
        <v>39</v>
      </c>
    </row>
    <row r="2009" spans="1:5" hidden="1" x14ac:dyDescent="0.25">
      <c r="A2009">
        <v>38</v>
      </c>
      <c r="B2009">
        <v>13</v>
      </c>
      <c r="C2009" t="s">
        <v>39</v>
      </c>
      <c r="D2009" s="4">
        <v>0</v>
      </c>
      <c r="E2009" t="s">
        <v>39</v>
      </c>
    </row>
    <row r="2010" spans="1:5" x14ac:dyDescent="0.25">
      <c r="A2010">
        <v>38</v>
      </c>
      <c r="B2010">
        <v>13</v>
      </c>
      <c r="C2010" t="s">
        <v>1443</v>
      </c>
      <c r="D2010" s="5">
        <v>0</v>
      </c>
      <c r="E2010" t="s">
        <v>1444</v>
      </c>
    </row>
    <row r="2011" spans="1:5" hidden="1" x14ac:dyDescent="0.25">
      <c r="A2011">
        <v>38</v>
      </c>
      <c r="B2011">
        <v>13</v>
      </c>
      <c r="C2011" t="s">
        <v>39</v>
      </c>
      <c r="D2011" s="4">
        <v>0</v>
      </c>
      <c r="E2011" t="s">
        <v>39</v>
      </c>
    </row>
    <row r="2012" spans="1:5" x14ac:dyDescent="0.25">
      <c r="A2012">
        <v>38</v>
      </c>
      <c r="B2012">
        <v>13</v>
      </c>
      <c r="C2012" t="s">
        <v>1445</v>
      </c>
      <c r="D2012" s="5">
        <v>0</v>
      </c>
      <c r="E2012" t="s">
        <v>2580</v>
      </c>
    </row>
    <row r="2013" spans="1:5" hidden="1" x14ac:dyDescent="0.25">
      <c r="A2013">
        <v>38</v>
      </c>
      <c r="B2013">
        <v>13</v>
      </c>
      <c r="C2013" t="s">
        <v>39</v>
      </c>
      <c r="D2013" s="4">
        <v>0</v>
      </c>
      <c r="E2013" t="s">
        <v>39</v>
      </c>
    </row>
    <row r="2014" spans="1:5" x14ac:dyDescent="0.25">
      <c r="A2014">
        <v>38</v>
      </c>
      <c r="B2014">
        <v>13</v>
      </c>
      <c r="C2014" t="s">
        <v>1446</v>
      </c>
      <c r="D2014" s="5">
        <v>0</v>
      </c>
      <c r="E2014" t="s">
        <v>1447</v>
      </c>
    </row>
    <row r="2015" spans="1:5" hidden="1" x14ac:dyDescent="0.25">
      <c r="A2015">
        <v>38</v>
      </c>
      <c r="B2015">
        <v>13</v>
      </c>
      <c r="C2015" t="s">
        <v>39</v>
      </c>
      <c r="D2015" s="4">
        <v>0</v>
      </c>
      <c r="E2015" t="s">
        <v>39</v>
      </c>
    </row>
    <row r="2016" spans="1:5" hidden="1" x14ac:dyDescent="0.25">
      <c r="A2016">
        <v>38</v>
      </c>
      <c r="B2016">
        <v>16</v>
      </c>
      <c r="C2016" t="s">
        <v>39</v>
      </c>
      <c r="D2016" s="4">
        <v>0</v>
      </c>
      <c r="E2016" t="s">
        <v>39</v>
      </c>
    </row>
    <row r="2017" spans="1:5" x14ac:dyDescent="0.25">
      <c r="A2017">
        <v>38</v>
      </c>
      <c r="B2017">
        <v>16</v>
      </c>
      <c r="C2017" t="s">
        <v>1448</v>
      </c>
      <c r="D2017" s="5">
        <v>0</v>
      </c>
      <c r="E2017" t="s">
        <v>1449</v>
      </c>
    </row>
    <row r="2018" spans="1:5" hidden="1" x14ac:dyDescent="0.25">
      <c r="A2018">
        <v>38</v>
      </c>
      <c r="B2018">
        <v>16</v>
      </c>
      <c r="C2018" t="s">
        <v>39</v>
      </c>
      <c r="D2018" s="4">
        <v>0</v>
      </c>
      <c r="E2018" t="s">
        <v>39</v>
      </c>
    </row>
    <row r="2019" spans="1:5" x14ac:dyDescent="0.25">
      <c r="A2019">
        <v>38</v>
      </c>
      <c r="B2019">
        <v>16</v>
      </c>
      <c r="C2019" t="s">
        <v>1450</v>
      </c>
      <c r="D2019" s="5">
        <v>0</v>
      </c>
      <c r="E2019" t="s">
        <v>2581</v>
      </c>
    </row>
    <row r="2020" spans="1:5" hidden="1" x14ac:dyDescent="0.25">
      <c r="A2020">
        <v>38</v>
      </c>
      <c r="B2020">
        <v>16</v>
      </c>
      <c r="C2020" t="s">
        <v>39</v>
      </c>
      <c r="D2020" s="4">
        <v>0</v>
      </c>
      <c r="E2020" t="s">
        <v>39</v>
      </c>
    </row>
    <row r="2021" spans="1:5" x14ac:dyDescent="0.25">
      <c r="A2021">
        <v>38</v>
      </c>
      <c r="B2021">
        <v>16</v>
      </c>
      <c r="C2021" t="s">
        <v>1451</v>
      </c>
      <c r="D2021" s="5">
        <v>0</v>
      </c>
      <c r="E2021" t="s">
        <v>2582</v>
      </c>
    </row>
    <row r="2022" spans="1:5" hidden="1" x14ac:dyDescent="0.25">
      <c r="A2022">
        <v>38</v>
      </c>
      <c r="B2022">
        <v>16</v>
      </c>
      <c r="C2022" t="s">
        <v>39</v>
      </c>
      <c r="D2022" s="4">
        <v>0</v>
      </c>
      <c r="E2022" t="s">
        <v>39</v>
      </c>
    </row>
    <row r="2023" spans="1:5" hidden="1" x14ac:dyDescent="0.25">
      <c r="A2023">
        <v>38</v>
      </c>
      <c r="B2023">
        <v>20</v>
      </c>
      <c r="C2023" t="s">
        <v>39</v>
      </c>
      <c r="D2023" s="4">
        <v>0</v>
      </c>
      <c r="E2023" t="s">
        <v>39</v>
      </c>
    </row>
    <row r="2024" spans="1:5" x14ac:dyDescent="0.25">
      <c r="A2024">
        <v>38</v>
      </c>
      <c r="B2024">
        <v>20</v>
      </c>
      <c r="C2024" t="s">
        <v>2583</v>
      </c>
      <c r="D2024" s="5">
        <v>0</v>
      </c>
      <c r="E2024" t="s">
        <v>1452</v>
      </c>
    </row>
    <row r="2025" spans="1:5" hidden="1" x14ac:dyDescent="0.25">
      <c r="A2025">
        <v>38</v>
      </c>
      <c r="B2025">
        <v>20</v>
      </c>
      <c r="C2025" t="s">
        <v>39</v>
      </c>
      <c r="D2025" s="4">
        <v>0</v>
      </c>
      <c r="E2025" t="s">
        <v>39</v>
      </c>
    </row>
    <row r="2026" spans="1:5" x14ac:dyDescent="0.25">
      <c r="A2026">
        <v>38</v>
      </c>
      <c r="B2026">
        <v>20</v>
      </c>
      <c r="C2026" t="s">
        <v>2584</v>
      </c>
      <c r="D2026" s="5">
        <v>0</v>
      </c>
      <c r="E2026" t="s">
        <v>1453</v>
      </c>
    </row>
    <row r="2027" spans="1:5" hidden="1" x14ac:dyDescent="0.25">
      <c r="A2027">
        <v>38</v>
      </c>
      <c r="B2027">
        <v>20</v>
      </c>
      <c r="C2027" t="s">
        <v>39</v>
      </c>
      <c r="D2027" s="4">
        <v>0</v>
      </c>
      <c r="E2027" t="s">
        <v>39</v>
      </c>
    </row>
    <row r="2028" spans="1:5" x14ac:dyDescent="0.25">
      <c r="A2028">
        <v>38</v>
      </c>
      <c r="B2028">
        <v>20</v>
      </c>
      <c r="C2028" t="s">
        <v>80</v>
      </c>
      <c r="D2028" s="5">
        <v>0</v>
      </c>
      <c r="E2028" t="s">
        <v>81</v>
      </c>
    </row>
    <row r="2029" spans="1:5" hidden="1" x14ac:dyDescent="0.25">
      <c r="A2029">
        <v>38</v>
      </c>
      <c r="B2029">
        <v>20</v>
      </c>
      <c r="C2029" t="s">
        <v>39</v>
      </c>
      <c r="D2029" s="4">
        <v>0</v>
      </c>
      <c r="E2029" t="s">
        <v>39</v>
      </c>
    </row>
    <row r="2030" spans="1:5" x14ac:dyDescent="0.25">
      <c r="A2030">
        <v>38</v>
      </c>
      <c r="B2030">
        <v>20</v>
      </c>
      <c r="C2030" t="s">
        <v>245</v>
      </c>
      <c r="D2030" s="5">
        <v>0</v>
      </c>
      <c r="E2030" t="s">
        <v>246</v>
      </c>
    </row>
    <row r="2031" spans="1:5" x14ac:dyDescent="0.25">
      <c r="A2031">
        <v>39</v>
      </c>
      <c r="B2031">
        <v>1</v>
      </c>
      <c r="C2031" t="s">
        <v>1454</v>
      </c>
      <c r="D2031" s="5">
        <v>0</v>
      </c>
      <c r="E2031" t="s">
        <v>1455</v>
      </c>
    </row>
    <row r="2032" spans="1:5" hidden="1" x14ac:dyDescent="0.25">
      <c r="A2032">
        <v>39</v>
      </c>
      <c r="B2032">
        <v>1</v>
      </c>
      <c r="C2032" t="s">
        <v>39</v>
      </c>
      <c r="D2032" s="4">
        <v>0</v>
      </c>
      <c r="E2032" t="s">
        <v>39</v>
      </c>
    </row>
    <row r="2033" spans="1:5" x14ac:dyDescent="0.25">
      <c r="A2033">
        <v>39</v>
      </c>
      <c r="B2033">
        <v>1</v>
      </c>
      <c r="C2033" t="s">
        <v>1456</v>
      </c>
      <c r="D2033" s="5">
        <v>0</v>
      </c>
      <c r="E2033" t="s">
        <v>1457</v>
      </c>
    </row>
    <row r="2034" spans="1:5" hidden="1" x14ac:dyDescent="0.25">
      <c r="A2034">
        <v>39</v>
      </c>
      <c r="B2034">
        <v>1</v>
      </c>
      <c r="C2034" t="s">
        <v>39</v>
      </c>
      <c r="D2034" s="4">
        <v>0</v>
      </c>
      <c r="E2034" t="s">
        <v>39</v>
      </c>
    </row>
    <row r="2035" spans="1:5" x14ac:dyDescent="0.25">
      <c r="A2035">
        <v>39</v>
      </c>
      <c r="B2035">
        <v>1</v>
      </c>
      <c r="C2035" t="s">
        <v>1458</v>
      </c>
      <c r="D2035" s="5">
        <v>0</v>
      </c>
      <c r="E2035" t="s">
        <v>1459</v>
      </c>
    </row>
    <row r="2036" spans="1:5" hidden="1" x14ac:dyDescent="0.25">
      <c r="A2036">
        <v>39</v>
      </c>
      <c r="B2036">
        <v>1</v>
      </c>
      <c r="C2036" t="s">
        <v>39</v>
      </c>
      <c r="D2036" s="4">
        <v>0</v>
      </c>
      <c r="E2036" t="s">
        <v>39</v>
      </c>
    </row>
    <row r="2037" spans="1:5" x14ac:dyDescent="0.25">
      <c r="A2037">
        <v>39</v>
      </c>
      <c r="B2037">
        <v>1</v>
      </c>
      <c r="C2037" t="s">
        <v>1460</v>
      </c>
      <c r="D2037" s="5">
        <v>0</v>
      </c>
      <c r="E2037" t="s">
        <v>1461</v>
      </c>
    </row>
    <row r="2038" spans="1:5" hidden="1" x14ac:dyDescent="0.25">
      <c r="A2038">
        <v>39</v>
      </c>
      <c r="B2038">
        <v>1</v>
      </c>
      <c r="C2038" t="s">
        <v>39</v>
      </c>
      <c r="D2038" s="4">
        <v>0</v>
      </c>
      <c r="E2038" t="s">
        <v>39</v>
      </c>
    </row>
    <row r="2039" spans="1:5" hidden="1" x14ac:dyDescent="0.25">
      <c r="A2039">
        <v>39</v>
      </c>
      <c r="B2039">
        <v>4</v>
      </c>
      <c r="C2039" t="s">
        <v>39</v>
      </c>
      <c r="D2039" s="4">
        <v>0</v>
      </c>
      <c r="E2039" t="s">
        <v>39</v>
      </c>
    </row>
    <row r="2040" spans="1:5" x14ac:dyDescent="0.25">
      <c r="A2040">
        <v>39</v>
      </c>
      <c r="B2040">
        <v>4</v>
      </c>
      <c r="C2040" t="s">
        <v>1462</v>
      </c>
      <c r="D2040" s="5">
        <v>0</v>
      </c>
      <c r="E2040" t="s">
        <v>2585</v>
      </c>
    </row>
    <row r="2041" spans="1:5" hidden="1" x14ac:dyDescent="0.25">
      <c r="A2041">
        <v>39</v>
      </c>
      <c r="B2041">
        <v>4</v>
      </c>
      <c r="C2041" t="s">
        <v>39</v>
      </c>
      <c r="D2041" s="4">
        <v>0</v>
      </c>
      <c r="E2041" t="s">
        <v>39</v>
      </c>
    </row>
    <row r="2042" spans="1:5" x14ac:dyDescent="0.25">
      <c r="A2042">
        <v>39</v>
      </c>
      <c r="B2042">
        <v>4</v>
      </c>
      <c r="C2042" t="s">
        <v>1463</v>
      </c>
      <c r="D2042" s="5">
        <v>0</v>
      </c>
      <c r="E2042" t="s">
        <v>2586</v>
      </c>
    </row>
    <row r="2043" spans="1:5" hidden="1" x14ac:dyDescent="0.25">
      <c r="A2043">
        <v>39</v>
      </c>
      <c r="B2043">
        <v>4</v>
      </c>
      <c r="C2043" t="s">
        <v>39</v>
      </c>
      <c r="D2043" s="4">
        <v>0</v>
      </c>
      <c r="E2043" t="s">
        <v>39</v>
      </c>
    </row>
    <row r="2044" spans="1:5" x14ac:dyDescent="0.25">
      <c r="A2044">
        <v>39</v>
      </c>
      <c r="B2044">
        <v>4</v>
      </c>
      <c r="C2044" t="s">
        <v>1464</v>
      </c>
      <c r="D2044" s="5">
        <v>0</v>
      </c>
      <c r="E2044" t="s">
        <v>2587</v>
      </c>
    </row>
    <row r="2045" spans="1:5" hidden="1" x14ac:dyDescent="0.25">
      <c r="A2045">
        <v>39</v>
      </c>
      <c r="B2045">
        <v>4</v>
      </c>
      <c r="C2045" t="s">
        <v>39</v>
      </c>
      <c r="D2045" s="4">
        <v>0</v>
      </c>
      <c r="E2045" t="s">
        <v>39</v>
      </c>
    </row>
    <row r="2046" spans="1:5" x14ac:dyDescent="0.25">
      <c r="A2046">
        <v>39</v>
      </c>
      <c r="B2046">
        <v>4</v>
      </c>
      <c r="C2046" t="s">
        <v>1465</v>
      </c>
      <c r="D2046" s="5">
        <v>0</v>
      </c>
      <c r="E2046" t="s">
        <v>2588</v>
      </c>
    </row>
    <row r="2047" spans="1:5" hidden="1" x14ac:dyDescent="0.25">
      <c r="A2047">
        <v>39</v>
      </c>
      <c r="B2047">
        <v>4</v>
      </c>
      <c r="C2047" t="s">
        <v>39</v>
      </c>
      <c r="D2047" s="4">
        <v>0</v>
      </c>
      <c r="E2047" t="s">
        <v>39</v>
      </c>
    </row>
    <row r="2048" spans="1:5" hidden="1" x14ac:dyDescent="0.25">
      <c r="A2048">
        <v>39</v>
      </c>
      <c r="B2048">
        <v>7</v>
      </c>
      <c r="C2048" t="s">
        <v>39</v>
      </c>
      <c r="D2048" s="4">
        <v>0</v>
      </c>
      <c r="E2048" t="s">
        <v>39</v>
      </c>
    </row>
    <row r="2049" spans="1:5" x14ac:dyDescent="0.25">
      <c r="A2049">
        <v>39</v>
      </c>
      <c r="B2049">
        <v>7</v>
      </c>
      <c r="C2049" t="s">
        <v>1466</v>
      </c>
      <c r="D2049" s="5">
        <v>0</v>
      </c>
      <c r="E2049" t="s">
        <v>2589</v>
      </c>
    </row>
    <row r="2050" spans="1:5" hidden="1" x14ac:dyDescent="0.25">
      <c r="A2050">
        <v>39</v>
      </c>
      <c r="B2050">
        <v>7</v>
      </c>
      <c r="C2050" t="s">
        <v>39</v>
      </c>
      <c r="D2050" s="4">
        <v>0</v>
      </c>
      <c r="E2050" t="s">
        <v>39</v>
      </c>
    </row>
    <row r="2051" spans="1:5" x14ac:dyDescent="0.25">
      <c r="A2051">
        <v>39</v>
      </c>
      <c r="B2051">
        <v>7</v>
      </c>
      <c r="C2051" t="s">
        <v>1467</v>
      </c>
      <c r="D2051" s="5">
        <v>0</v>
      </c>
      <c r="E2051" t="s">
        <v>1468</v>
      </c>
    </row>
    <row r="2052" spans="1:5" hidden="1" x14ac:dyDescent="0.25">
      <c r="A2052">
        <v>39</v>
      </c>
      <c r="B2052">
        <v>7</v>
      </c>
      <c r="C2052" t="s">
        <v>39</v>
      </c>
      <c r="D2052" s="4">
        <v>0</v>
      </c>
      <c r="E2052" t="s">
        <v>39</v>
      </c>
    </row>
    <row r="2053" spans="1:5" x14ac:dyDescent="0.25">
      <c r="A2053">
        <v>39</v>
      </c>
      <c r="B2053">
        <v>7</v>
      </c>
      <c r="C2053" t="s">
        <v>1469</v>
      </c>
      <c r="D2053" s="5">
        <v>0</v>
      </c>
      <c r="E2053" t="s">
        <v>2590</v>
      </c>
    </row>
    <row r="2054" spans="1:5" hidden="1" x14ac:dyDescent="0.25">
      <c r="A2054">
        <v>39</v>
      </c>
      <c r="B2054">
        <v>7</v>
      </c>
      <c r="C2054" t="s">
        <v>39</v>
      </c>
      <c r="D2054" s="4">
        <v>0</v>
      </c>
      <c r="E2054" t="s">
        <v>39</v>
      </c>
    </row>
    <row r="2055" spans="1:5" x14ac:dyDescent="0.25">
      <c r="A2055">
        <v>39</v>
      </c>
      <c r="B2055">
        <v>7</v>
      </c>
      <c r="C2055" t="s">
        <v>1470</v>
      </c>
      <c r="D2055" s="5">
        <v>0</v>
      </c>
      <c r="E2055" t="s">
        <v>2591</v>
      </c>
    </row>
    <row r="2056" spans="1:5" hidden="1" x14ac:dyDescent="0.25">
      <c r="A2056">
        <v>39</v>
      </c>
      <c r="B2056">
        <v>7</v>
      </c>
      <c r="C2056" t="s">
        <v>39</v>
      </c>
      <c r="D2056" s="4">
        <v>0</v>
      </c>
      <c r="E2056" t="s">
        <v>39</v>
      </c>
    </row>
    <row r="2057" spans="1:5" hidden="1" x14ac:dyDescent="0.25">
      <c r="A2057">
        <v>39</v>
      </c>
      <c r="B2057">
        <v>10</v>
      </c>
      <c r="C2057" t="s">
        <v>39</v>
      </c>
      <c r="D2057" s="4">
        <v>0</v>
      </c>
      <c r="E2057" t="s">
        <v>39</v>
      </c>
    </row>
    <row r="2058" spans="1:5" x14ac:dyDescent="0.25">
      <c r="A2058">
        <v>39</v>
      </c>
      <c r="B2058">
        <v>10</v>
      </c>
      <c r="C2058" t="s">
        <v>1471</v>
      </c>
      <c r="D2058" s="5">
        <v>0</v>
      </c>
      <c r="E2058" t="s">
        <v>2592</v>
      </c>
    </row>
    <row r="2059" spans="1:5" hidden="1" x14ac:dyDescent="0.25">
      <c r="A2059">
        <v>39</v>
      </c>
      <c r="B2059">
        <v>10</v>
      </c>
      <c r="C2059" t="s">
        <v>39</v>
      </c>
      <c r="D2059" s="4">
        <v>0</v>
      </c>
      <c r="E2059" t="s">
        <v>39</v>
      </c>
    </row>
    <row r="2060" spans="1:5" x14ac:dyDescent="0.25">
      <c r="A2060">
        <v>39</v>
      </c>
      <c r="B2060">
        <v>10</v>
      </c>
      <c r="C2060" t="s">
        <v>1472</v>
      </c>
      <c r="D2060" s="5">
        <v>0</v>
      </c>
      <c r="E2060" t="s">
        <v>1473</v>
      </c>
    </row>
    <row r="2061" spans="1:5" hidden="1" x14ac:dyDescent="0.25">
      <c r="A2061">
        <v>39</v>
      </c>
      <c r="B2061">
        <v>10</v>
      </c>
      <c r="C2061" t="s">
        <v>39</v>
      </c>
      <c r="D2061" s="4">
        <v>0</v>
      </c>
      <c r="E2061" t="s">
        <v>39</v>
      </c>
    </row>
    <row r="2062" spans="1:5" hidden="1" x14ac:dyDescent="0.25">
      <c r="A2062">
        <v>39</v>
      </c>
      <c r="B2062">
        <v>13</v>
      </c>
      <c r="C2062" t="s">
        <v>39</v>
      </c>
      <c r="D2062" s="4">
        <v>0</v>
      </c>
      <c r="E2062" t="s">
        <v>39</v>
      </c>
    </row>
    <row r="2063" spans="1:5" x14ac:dyDescent="0.25">
      <c r="A2063">
        <v>39</v>
      </c>
      <c r="B2063">
        <v>13</v>
      </c>
      <c r="C2063" t="s">
        <v>1474</v>
      </c>
      <c r="D2063" s="5">
        <v>0</v>
      </c>
      <c r="E2063" t="s">
        <v>1475</v>
      </c>
    </row>
    <row r="2064" spans="1:5" hidden="1" x14ac:dyDescent="0.25">
      <c r="A2064">
        <v>39</v>
      </c>
      <c r="B2064">
        <v>13</v>
      </c>
      <c r="C2064" t="s">
        <v>39</v>
      </c>
      <c r="D2064" s="4">
        <v>0</v>
      </c>
      <c r="E2064" t="s">
        <v>39</v>
      </c>
    </row>
    <row r="2065" spans="1:5" x14ac:dyDescent="0.25">
      <c r="A2065">
        <v>39</v>
      </c>
      <c r="B2065">
        <v>13</v>
      </c>
      <c r="C2065" t="s">
        <v>1476</v>
      </c>
      <c r="D2065" s="5">
        <v>0</v>
      </c>
      <c r="E2065" t="s">
        <v>2593</v>
      </c>
    </row>
    <row r="2066" spans="1:5" hidden="1" x14ac:dyDescent="0.25">
      <c r="A2066">
        <v>39</v>
      </c>
      <c r="B2066">
        <v>13</v>
      </c>
      <c r="C2066" t="s">
        <v>39</v>
      </c>
      <c r="D2066" s="4">
        <v>0</v>
      </c>
      <c r="E2066" t="s">
        <v>39</v>
      </c>
    </row>
    <row r="2067" spans="1:5" x14ac:dyDescent="0.25">
      <c r="A2067">
        <v>39</v>
      </c>
      <c r="B2067">
        <v>13</v>
      </c>
      <c r="C2067" t="s">
        <v>1477</v>
      </c>
      <c r="D2067" s="5">
        <v>0</v>
      </c>
      <c r="E2067" t="s">
        <v>2594</v>
      </c>
    </row>
    <row r="2068" spans="1:5" hidden="1" x14ac:dyDescent="0.25">
      <c r="A2068">
        <v>39</v>
      </c>
      <c r="B2068">
        <v>13</v>
      </c>
      <c r="C2068" t="s">
        <v>39</v>
      </c>
      <c r="D2068" s="4">
        <v>0</v>
      </c>
      <c r="E2068" t="s">
        <v>39</v>
      </c>
    </row>
    <row r="2069" spans="1:5" x14ac:dyDescent="0.25">
      <c r="A2069">
        <v>39</v>
      </c>
      <c r="B2069">
        <v>13</v>
      </c>
      <c r="C2069" t="s">
        <v>1478</v>
      </c>
      <c r="D2069" s="5">
        <v>0</v>
      </c>
      <c r="E2069" t="s">
        <v>1479</v>
      </c>
    </row>
    <row r="2070" spans="1:5" hidden="1" x14ac:dyDescent="0.25">
      <c r="A2070">
        <v>39</v>
      </c>
      <c r="B2070">
        <v>13</v>
      </c>
      <c r="C2070" t="s">
        <v>39</v>
      </c>
      <c r="D2070" s="4">
        <v>0</v>
      </c>
      <c r="E2070" t="s">
        <v>39</v>
      </c>
    </row>
    <row r="2071" spans="1:5" hidden="1" x14ac:dyDescent="0.25">
      <c r="A2071">
        <v>39</v>
      </c>
      <c r="B2071">
        <v>16</v>
      </c>
      <c r="C2071" t="s">
        <v>39</v>
      </c>
      <c r="D2071" s="4">
        <v>0</v>
      </c>
      <c r="E2071" t="s">
        <v>39</v>
      </c>
    </row>
    <row r="2072" spans="1:5" x14ac:dyDescent="0.25">
      <c r="A2072">
        <v>39</v>
      </c>
      <c r="B2072">
        <v>16</v>
      </c>
      <c r="C2072" t="s">
        <v>1480</v>
      </c>
      <c r="D2072" s="5">
        <v>0</v>
      </c>
      <c r="E2072" t="s">
        <v>1481</v>
      </c>
    </row>
    <row r="2073" spans="1:5" hidden="1" x14ac:dyDescent="0.25">
      <c r="A2073">
        <v>39</v>
      </c>
      <c r="B2073">
        <v>16</v>
      </c>
      <c r="C2073" t="s">
        <v>39</v>
      </c>
      <c r="D2073" s="4">
        <v>0</v>
      </c>
      <c r="E2073" t="s">
        <v>39</v>
      </c>
    </row>
    <row r="2074" spans="1:5" x14ac:dyDescent="0.25">
      <c r="A2074">
        <v>39</v>
      </c>
      <c r="B2074">
        <v>16</v>
      </c>
      <c r="C2074" t="s">
        <v>1482</v>
      </c>
      <c r="D2074" s="5">
        <v>0</v>
      </c>
      <c r="E2074" t="s">
        <v>1483</v>
      </c>
    </row>
    <row r="2075" spans="1:5" hidden="1" x14ac:dyDescent="0.25">
      <c r="A2075">
        <v>39</v>
      </c>
      <c r="B2075">
        <v>16</v>
      </c>
      <c r="C2075" t="s">
        <v>39</v>
      </c>
      <c r="D2075" s="4">
        <v>0</v>
      </c>
      <c r="E2075" t="s">
        <v>39</v>
      </c>
    </row>
    <row r="2076" spans="1:5" x14ac:dyDescent="0.25">
      <c r="A2076">
        <v>39</v>
      </c>
      <c r="B2076">
        <v>16</v>
      </c>
      <c r="C2076" t="s">
        <v>1484</v>
      </c>
      <c r="D2076" s="5">
        <v>0</v>
      </c>
      <c r="E2076" t="s">
        <v>1485</v>
      </c>
    </row>
    <row r="2077" spans="1:5" hidden="1" x14ac:dyDescent="0.25">
      <c r="A2077">
        <v>39</v>
      </c>
      <c r="B2077">
        <v>16</v>
      </c>
      <c r="C2077" t="s">
        <v>39</v>
      </c>
      <c r="D2077" s="4">
        <v>0</v>
      </c>
      <c r="E2077" t="s">
        <v>39</v>
      </c>
    </row>
    <row r="2078" spans="1:5" x14ac:dyDescent="0.25">
      <c r="A2078">
        <v>39</v>
      </c>
      <c r="B2078">
        <v>16</v>
      </c>
      <c r="C2078" t="s">
        <v>1486</v>
      </c>
      <c r="D2078" s="5">
        <v>0</v>
      </c>
      <c r="E2078" t="s">
        <v>1487</v>
      </c>
    </row>
    <row r="2079" spans="1:5" hidden="1" x14ac:dyDescent="0.25">
      <c r="A2079">
        <v>39</v>
      </c>
      <c r="B2079">
        <v>16</v>
      </c>
      <c r="C2079" t="s">
        <v>39</v>
      </c>
      <c r="D2079" s="4">
        <v>0</v>
      </c>
      <c r="E2079" t="s">
        <v>39</v>
      </c>
    </row>
    <row r="2080" spans="1:5" hidden="1" x14ac:dyDescent="0.25">
      <c r="A2080">
        <v>39</v>
      </c>
      <c r="B2080">
        <v>20</v>
      </c>
      <c r="C2080" t="s">
        <v>39</v>
      </c>
      <c r="D2080" s="4">
        <v>0</v>
      </c>
      <c r="E2080" t="s">
        <v>39</v>
      </c>
    </row>
    <row r="2081" spans="1:5" x14ac:dyDescent="0.25">
      <c r="A2081">
        <v>39</v>
      </c>
      <c r="B2081">
        <v>20</v>
      </c>
      <c r="C2081" t="s">
        <v>1488</v>
      </c>
      <c r="D2081" s="5">
        <v>0</v>
      </c>
      <c r="E2081" t="s">
        <v>2595</v>
      </c>
    </row>
    <row r="2082" spans="1:5" hidden="1" x14ac:dyDescent="0.25">
      <c r="A2082">
        <v>39</v>
      </c>
      <c r="B2082">
        <v>20</v>
      </c>
      <c r="C2082" t="s">
        <v>39</v>
      </c>
      <c r="D2082" s="4">
        <v>0</v>
      </c>
      <c r="E2082" t="s">
        <v>39</v>
      </c>
    </row>
    <row r="2083" spans="1:5" x14ac:dyDescent="0.25">
      <c r="A2083">
        <v>39</v>
      </c>
      <c r="B2083">
        <v>20</v>
      </c>
      <c r="C2083" t="s">
        <v>1489</v>
      </c>
      <c r="D2083" s="5">
        <v>0</v>
      </c>
      <c r="E2083" t="s">
        <v>1490</v>
      </c>
    </row>
    <row r="2084" spans="1:5" hidden="1" x14ac:dyDescent="0.25">
      <c r="A2084">
        <v>39</v>
      </c>
      <c r="B2084">
        <v>20</v>
      </c>
      <c r="C2084" t="s">
        <v>39</v>
      </c>
      <c r="D2084" s="4">
        <v>0</v>
      </c>
      <c r="E2084" t="s">
        <v>39</v>
      </c>
    </row>
    <row r="2085" spans="1:5" x14ac:dyDescent="0.25">
      <c r="A2085">
        <v>39</v>
      </c>
      <c r="B2085">
        <v>20</v>
      </c>
      <c r="C2085" t="s">
        <v>1491</v>
      </c>
      <c r="D2085" s="5">
        <v>0</v>
      </c>
      <c r="E2085" t="s">
        <v>2596</v>
      </c>
    </row>
    <row r="2086" spans="1:5" hidden="1" x14ac:dyDescent="0.25">
      <c r="A2086">
        <v>39</v>
      </c>
      <c r="B2086">
        <v>20</v>
      </c>
      <c r="C2086" t="s">
        <v>39</v>
      </c>
      <c r="D2086" s="4">
        <v>0</v>
      </c>
      <c r="E2086" t="s">
        <v>39</v>
      </c>
    </row>
    <row r="2087" spans="1:5" x14ac:dyDescent="0.25">
      <c r="A2087">
        <v>39</v>
      </c>
      <c r="B2087">
        <v>20</v>
      </c>
      <c r="C2087" t="s">
        <v>1492</v>
      </c>
      <c r="D2087" s="5">
        <v>0</v>
      </c>
      <c r="E2087" t="s">
        <v>1493</v>
      </c>
    </row>
    <row r="2088" spans="1:5" x14ac:dyDescent="0.25">
      <c r="A2088">
        <v>40</v>
      </c>
      <c r="B2088">
        <v>1</v>
      </c>
      <c r="C2088" t="s">
        <v>1494</v>
      </c>
      <c r="D2088" s="5">
        <v>0</v>
      </c>
      <c r="E2088" t="s">
        <v>1495</v>
      </c>
    </row>
    <row r="2089" spans="1:5" hidden="1" x14ac:dyDescent="0.25">
      <c r="A2089">
        <v>40</v>
      </c>
      <c r="B2089">
        <v>1</v>
      </c>
      <c r="C2089" t="s">
        <v>39</v>
      </c>
      <c r="D2089" s="4">
        <v>0</v>
      </c>
      <c r="E2089" t="s">
        <v>39</v>
      </c>
    </row>
    <row r="2090" spans="1:5" x14ac:dyDescent="0.25">
      <c r="A2090">
        <v>40</v>
      </c>
      <c r="B2090">
        <v>1</v>
      </c>
      <c r="C2090" t="s">
        <v>1496</v>
      </c>
      <c r="D2090" s="5">
        <v>0</v>
      </c>
      <c r="E2090" t="s">
        <v>1497</v>
      </c>
    </row>
    <row r="2091" spans="1:5" hidden="1" x14ac:dyDescent="0.25">
      <c r="A2091">
        <v>40</v>
      </c>
      <c r="B2091">
        <v>1</v>
      </c>
      <c r="C2091" t="s">
        <v>39</v>
      </c>
      <c r="D2091" s="4">
        <v>0</v>
      </c>
      <c r="E2091" t="s">
        <v>39</v>
      </c>
    </row>
    <row r="2092" spans="1:5" x14ac:dyDescent="0.25">
      <c r="A2092">
        <v>40</v>
      </c>
      <c r="B2092">
        <v>1</v>
      </c>
      <c r="C2092" t="s">
        <v>1498</v>
      </c>
      <c r="D2092" s="5">
        <v>0</v>
      </c>
      <c r="E2092" t="s">
        <v>1499</v>
      </c>
    </row>
    <row r="2093" spans="1:5" hidden="1" x14ac:dyDescent="0.25">
      <c r="A2093">
        <v>40</v>
      </c>
      <c r="B2093">
        <v>1</v>
      </c>
      <c r="C2093" t="s">
        <v>39</v>
      </c>
      <c r="D2093" s="4">
        <v>0</v>
      </c>
      <c r="E2093" t="s">
        <v>39</v>
      </c>
    </row>
    <row r="2094" spans="1:5" x14ac:dyDescent="0.25">
      <c r="A2094">
        <v>40</v>
      </c>
      <c r="B2094">
        <v>1</v>
      </c>
      <c r="C2094" t="s">
        <v>51</v>
      </c>
      <c r="D2094" s="5">
        <v>0</v>
      </c>
      <c r="E2094" t="s">
        <v>52</v>
      </c>
    </row>
    <row r="2095" spans="1:5" hidden="1" x14ac:dyDescent="0.25">
      <c r="A2095">
        <v>40</v>
      </c>
      <c r="B2095">
        <v>1</v>
      </c>
      <c r="C2095" t="s">
        <v>39</v>
      </c>
      <c r="D2095" s="4">
        <v>0</v>
      </c>
      <c r="E2095" t="s">
        <v>39</v>
      </c>
    </row>
    <row r="2096" spans="1:5" hidden="1" x14ac:dyDescent="0.25">
      <c r="A2096">
        <v>40</v>
      </c>
      <c r="B2096">
        <v>4</v>
      </c>
      <c r="C2096" t="s">
        <v>39</v>
      </c>
      <c r="D2096" s="4">
        <v>0</v>
      </c>
      <c r="E2096" t="s">
        <v>39</v>
      </c>
    </row>
    <row r="2097" spans="1:5" x14ac:dyDescent="0.25">
      <c r="A2097">
        <v>40</v>
      </c>
      <c r="B2097">
        <v>4</v>
      </c>
      <c r="C2097" t="s">
        <v>1391</v>
      </c>
      <c r="D2097" s="5">
        <v>0</v>
      </c>
      <c r="E2097" t="s">
        <v>1392</v>
      </c>
    </row>
    <row r="2098" spans="1:5" hidden="1" x14ac:dyDescent="0.25">
      <c r="A2098">
        <v>40</v>
      </c>
      <c r="B2098">
        <v>4</v>
      </c>
      <c r="C2098" t="s">
        <v>39</v>
      </c>
      <c r="D2098" s="4">
        <v>0</v>
      </c>
      <c r="E2098" t="s">
        <v>39</v>
      </c>
    </row>
    <row r="2099" spans="1:5" x14ac:dyDescent="0.25">
      <c r="A2099">
        <v>40</v>
      </c>
      <c r="B2099">
        <v>4</v>
      </c>
      <c r="C2099" t="s">
        <v>1389</v>
      </c>
      <c r="D2099" s="5">
        <v>0</v>
      </c>
      <c r="E2099" t="s">
        <v>1500</v>
      </c>
    </row>
    <row r="2100" spans="1:5" hidden="1" x14ac:dyDescent="0.25">
      <c r="A2100">
        <v>40</v>
      </c>
      <c r="B2100">
        <v>4</v>
      </c>
      <c r="C2100" t="s">
        <v>39</v>
      </c>
      <c r="D2100" s="4">
        <v>0</v>
      </c>
      <c r="E2100" t="s">
        <v>39</v>
      </c>
    </row>
    <row r="2101" spans="1:5" x14ac:dyDescent="0.25">
      <c r="A2101">
        <v>40</v>
      </c>
      <c r="B2101">
        <v>4</v>
      </c>
      <c r="C2101" t="s">
        <v>1501</v>
      </c>
      <c r="D2101" s="5">
        <v>0</v>
      </c>
      <c r="E2101" t="s">
        <v>1502</v>
      </c>
    </row>
    <row r="2102" spans="1:5" hidden="1" x14ac:dyDescent="0.25">
      <c r="A2102">
        <v>40</v>
      </c>
      <c r="B2102">
        <v>4</v>
      </c>
      <c r="C2102" t="s">
        <v>39</v>
      </c>
      <c r="D2102" s="4">
        <v>0</v>
      </c>
      <c r="E2102" t="s">
        <v>39</v>
      </c>
    </row>
    <row r="2103" spans="1:5" hidden="1" x14ac:dyDescent="0.25">
      <c r="A2103">
        <v>40</v>
      </c>
      <c r="B2103">
        <v>7</v>
      </c>
      <c r="C2103" t="s">
        <v>39</v>
      </c>
      <c r="D2103" s="4">
        <v>0</v>
      </c>
      <c r="E2103" t="s">
        <v>39</v>
      </c>
    </row>
    <row r="2104" spans="1:5" x14ac:dyDescent="0.25">
      <c r="A2104">
        <v>40</v>
      </c>
      <c r="B2104">
        <v>7</v>
      </c>
      <c r="C2104" t="s">
        <v>1503</v>
      </c>
      <c r="D2104" s="5">
        <v>0</v>
      </c>
      <c r="E2104" t="s">
        <v>1504</v>
      </c>
    </row>
    <row r="2105" spans="1:5" hidden="1" x14ac:dyDescent="0.25">
      <c r="A2105">
        <v>40</v>
      </c>
      <c r="B2105">
        <v>7</v>
      </c>
      <c r="C2105" t="s">
        <v>39</v>
      </c>
      <c r="D2105" s="4">
        <v>0</v>
      </c>
      <c r="E2105" t="s">
        <v>39</v>
      </c>
    </row>
    <row r="2106" spans="1:5" x14ac:dyDescent="0.25">
      <c r="A2106">
        <v>40</v>
      </c>
      <c r="B2106">
        <v>7</v>
      </c>
      <c r="C2106" t="s">
        <v>1505</v>
      </c>
      <c r="D2106" s="5">
        <v>0</v>
      </c>
      <c r="E2106" t="s">
        <v>1506</v>
      </c>
    </row>
    <row r="2107" spans="1:5" hidden="1" x14ac:dyDescent="0.25">
      <c r="A2107">
        <v>40</v>
      </c>
      <c r="B2107">
        <v>7</v>
      </c>
      <c r="C2107" t="s">
        <v>39</v>
      </c>
      <c r="D2107" s="4">
        <v>0</v>
      </c>
      <c r="E2107" t="s">
        <v>39</v>
      </c>
    </row>
    <row r="2108" spans="1:5" x14ac:dyDescent="0.25">
      <c r="A2108">
        <v>40</v>
      </c>
      <c r="B2108">
        <v>7</v>
      </c>
      <c r="C2108" t="s">
        <v>1507</v>
      </c>
      <c r="D2108" s="5">
        <v>0</v>
      </c>
      <c r="E2108" t="s">
        <v>1508</v>
      </c>
    </row>
    <row r="2109" spans="1:5" hidden="1" x14ac:dyDescent="0.25">
      <c r="A2109">
        <v>40</v>
      </c>
      <c r="B2109">
        <v>7</v>
      </c>
      <c r="C2109" t="s">
        <v>39</v>
      </c>
      <c r="D2109" s="4">
        <v>0</v>
      </c>
      <c r="E2109" t="s">
        <v>39</v>
      </c>
    </row>
    <row r="2110" spans="1:5" hidden="1" x14ac:dyDescent="0.25">
      <c r="A2110">
        <v>40</v>
      </c>
      <c r="B2110">
        <v>10</v>
      </c>
      <c r="C2110" t="s">
        <v>39</v>
      </c>
      <c r="D2110" s="4">
        <v>0</v>
      </c>
      <c r="E2110" t="s">
        <v>39</v>
      </c>
    </row>
    <row r="2111" spans="1:5" x14ac:dyDescent="0.25">
      <c r="A2111">
        <v>40</v>
      </c>
      <c r="B2111">
        <v>10</v>
      </c>
      <c r="C2111" t="s">
        <v>1509</v>
      </c>
      <c r="D2111" s="5">
        <v>0</v>
      </c>
      <c r="E2111" t="s">
        <v>1510</v>
      </c>
    </row>
    <row r="2112" spans="1:5" hidden="1" x14ac:dyDescent="0.25">
      <c r="A2112">
        <v>40</v>
      </c>
      <c r="B2112">
        <v>10</v>
      </c>
      <c r="C2112" t="s">
        <v>39</v>
      </c>
      <c r="D2112" s="4">
        <v>0</v>
      </c>
      <c r="E2112" t="s">
        <v>39</v>
      </c>
    </row>
    <row r="2113" spans="1:5" x14ac:dyDescent="0.25">
      <c r="A2113">
        <v>40</v>
      </c>
      <c r="B2113">
        <v>10</v>
      </c>
      <c r="C2113" t="s">
        <v>1511</v>
      </c>
      <c r="D2113" s="5">
        <v>0</v>
      </c>
      <c r="E2113" t="s">
        <v>1512</v>
      </c>
    </row>
    <row r="2114" spans="1:5" hidden="1" x14ac:dyDescent="0.25">
      <c r="A2114">
        <v>40</v>
      </c>
      <c r="B2114">
        <v>10</v>
      </c>
      <c r="C2114" t="s">
        <v>39</v>
      </c>
      <c r="D2114" s="4">
        <v>0</v>
      </c>
      <c r="E2114" t="s">
        <v>39</v>
      </c>
    </row>
    <row r="2115" spans="1:5" hidden="1" x14ac:dyDescent="0.25">
      <c r="A2115">
        <v>40</v>
      </c>
      <c r="B2115">
        <v>13</v>
      </c>
      <c r="C2115" t="s">
        <v>39</v>
      </c>
      <c r="D2115" s="4">
        <v>0</v>
      </c>
      <c r="E2115" t="s">
        <v>39</v>
      </c>
    </row>
    <row r="2116" spans="1:5" x14ac:dyDescent="0.25">
      <c r="A2116">
        <v>40</v>
      </c>
      <c r="B2116">
        <v>13</v>
      </c>
      <c r="C2116" t="s">
        <v>537</v>
      </c>
      <c r="D2116" s="5">
        <v>0</v>
      </c>
      <c r="E2116" t="s">
        <v>2455</v>
      </c>
    </row>
    <row r="2117" spans="1:5" hidden="1" x14ac:dyDescent="0.25">
      <c r="A2117">
        <v>40</v>
      </c>
      <c r="B2117">
        <v>13</v>
      </c>
      <c r="C2117" t="s">
        <v>39</v>
      </c>
      <c r="D2117" s="4">
        <v>0</v>
      </c>
      <c r="E2117" t="s">
        <v>39</v>
      </c>
    </row>
    <row r="2118" spans="1:5" x14ac:dyDescent="0.25">
      <c r="A2118">
        <v>40</v>
      </c>
      <c r="B2118">
        <v>13</v>
      </c>
      <c r="C2118" t="s">
        <v>1513</v>
      </c>
      <c r="D2118" s="5">
        <v>0</v>
      </c>
      <c r="E2118" t="s">
        <v>2597</v>
      </c>
    </row>
    <row r="2119" spans="1:5" hidden="1" x14ac:dyDescent="0.25">
      <c r="A2119">
        <v>40</v>
      </c>
      <c r="B2119">
        <v>13</v>
      </c>
      <c r="C2119" t="s">
        <v>39</v>
      </c>
      <c r="D2119" s="4">
        <v>0</v>
      </c>
      <c r="E2119" t="s">
        <v>39</v>
      </c>
    </row>
    <row r="2120" spans="1:5" x14ac:dyDescent="0.25">
      <c r="A2120">
        <v>40</v>
      </c>
      <c r="B2120">
        <v>13</v>
      </c>
      <c r="C2120" t="s">
        <v>1514</v>
      </c>
      <c r="D2120" s="5">
        <v>0</v>
      </c>
      <c r="E2120" t="s">
        <v>1515</v>
      </c>
    </row>
    <row r="2121" spans="1:5" hidden="1" x14ac:dyDescent="0.25">
      <c r="A2121">
        <v>40</v>
      </c>
      <c r="B2121">
        <v>13</v>
      </c>
      <c r="C2121" t="s">
        <v>39</v>
      </c>
      <c r="D2121" s="4">
        <v>0</v>
      </c>
      <c r="E2121" t="s">
        <v>39</v>
      </c>
    </row>
    <row r="2122" spans="1:5" x14ac:dyDescent="0.25">
      <c r="A2122">
        <v>40</v>
      </c>
      <c r="B2122">
        <v>13</v>
      </c>
      <c r="C2122" t="s">
        <v>1516</v>
      </c>
      <c r="D2122" s="5">
        <v>0</v>
      </c>
      <c r="E2122" t="s">
        <v>1517</v>
      </c>
    </row>
    <row r="2123" spans="1:5" hidden="1" x14ac:dyDescent="0.25">
      <c r="A2123">
        <v>40</v>
      </c>
      <c r="B2123">
        <v>13</v>
      </c>
      <c r="C2123" t="s">
        <v>39</v>
      </c>
      <c r="D2123" s="4">
        <v>0</v>
      </c>
      <c r="E2123" t="s">
        <v>39</v>
      </c>
    </row>
    <row r="2124" spans="1:5" hidden="1" x14ac:dyDescent="0.25">
      <c r="A2124">
        <v>40</v>
      </c>
      <c r="B2124">
        <v>16</v>
      </c>
      <c r="C2124" t="s">
        <v>39</v>
      </c>
      <c r="D2124" s="4">
        <v>0</v>
      </c>
      <c r="E2124" t="s">
        <v>39</v>
      </c>
    </row>
    <row r="2125" spans="1:5" x14ac:dyDescent="0.25">
      <c r="A2125">
        <v>40</v>
      </c>
      <c r="B2125">
        <v>16</v>
      </c>
      <c r="C2125" t="s">
        <v>650</v>
      </c>
      <c r="D2125" s="5">
        <v>0</v>
      </c>
      <c r="E2125" t="s">
        <v>1090</v>
      </c>
    </row>
    <row r="2126" spans="1:5" hidden="1" x14ac:dyDescent="0.25">
      <c r="A2126">
        <v>40</v>
      </c>
      <c r="B2126">
        <v>16</v>
      </c>
      <c r="C2126" t="s">
        <v>39</v>
      </c>
      <c r="D2126" s="4">
        <v>0</v>
      </c>
      <c r="E2126" t="s">
        <v>39</v>
      </c>
    </row>
    <row r="2127" spans="1:5" x14ac:dyDescent="0.25">
      <c r="A2127">
        <v>40</v>
      </c>
      <c r="B2127">
        <v>16</v>
      </c>
      <c r="C2127" t="s">
        <v>1518</v>
      </c>
      <c r="D2127" s="5">
        <v>0</v>
      </c>
      <c r="E2127" t="s">
        <v>1519</v>
      </c>
    </row>
    <row r="2128" spans="1:5" hidden="1" x14ac:dyDescent="0.25">
      <c r="A2128">
        <v>40</v>
      </c>
      <c r="B2128">
        <v>16</v>
      </c>
      <c r="C2128" t="s">
        <v>39</v>
      </c>
      <c r="D2128" s="4">
        <v>0</v>
      </c>
      <c r="E2128" t="s">
        <v>39</v>
      </c>
    </row>
    <row r="2129" spans="1:5" x14ac:dyDescent="0.25">
      <c r="A2129">
        <v>40</v>
      </c>
      <c r="B2129">
        <v>16</v>
      </c>
      <c r="C2129" t="s">
        <v>1520</v>
      </c>
      <c r="D2129" s="5">
        <v>0</v>
      </c>
      <c r="E2129" t="s">
        <v>1521</v>
      </c>
    </row>
    <row r="2130" spans="1:5" hidden="1" x14ac:dyDescent="0.25">
      <c r="A2130">
        <v>40</v>
      </c>
      <c r="B2130">
        <v>16</v>
      </c>
      <c r="C2130" t="s">
        <v>39</v>
      </c>
      <c r="D2130" s="4">
        <v>0</v>
      </c>
      <c r="E2130" t="s">
        <v>39</v>
      </c>
    </row>
    <row r="2131" spans="1:5" x14ac:dyDescent="0.25">
      <c r="A2131">
        <v>40</v>
      </c>
      <c r="B2131">
        <v>16</v>
      </c>
      <c r="C2131" t="s">
        <v>1522</v>
      </c>
      <c r="D2131" s="5">
        <v>0</v>
      </c>
      <c r="E2131" t="s">
        <v>1523</v>
      </c>
    </row>
    <row r="2132" spans="1:5" hidden="1" x14ac:dyDescent="0.25">
      <c r="A2132">
        <v>40</v>
      </c>
      <c r="B2132">
        <v>16</v>
      </c>
      <c r="C2132" t="s">
        <v>39</v>
      </c>
      <c r="D2132" s="4">
        <v>0</v>
      </c>
      <c r="E2132" t="s">
        <v>39</v>
      </c>
    </row>
    <row r="2133" spans="1:5" hidden="1" x14ac:dyDescent="0.25">
      <c r="A2133">
        <v>40</v>
      </c>
      <c r="B2133">
        <v>20</v>
      </c>
      <c r="C2133" t="s">
        <v>39</v>
      </c>
      <c r="D2133" s="4">
        <v>0</v>
      </c>
      <c r="E2133" t="s">
        <v>39</v>
      </c>
    </row>
    <row r="2134" spans="1:5" x14ac:dyDescent="0.25">
      <c r="A2134">
        <v>40</v>
      </c>
      <c r="B2134">
        <v>20</v>
      </c>
      <c r="C2134" t="s">
        <v>1524</v>
      </c>
      <c r="D2134" s="5">
        <v>0</v>
      </c>
      <c r="E2134" t="s">
        <v>2598</v>
      </c>
    </row>
    <row r="2135" spans="1:5" hidden="1" x14ac:dyDescent="0.25">
      <c r="A2135">
        <v>40</v>
      </c>
      <c r="B2135">
        <v>20</v>
      </c>
      <c r="C2135" t="s">
        <v>39</v>
      </c>
      <c r="D2135" s="4">
        <v>0</v>
      </c>
      <c r="E2135" t="s">
        <v>39</v>
      </c>
    </row>
    <row r="2136" spans="1:5" x14ac:dyDescent="0.25">
      <c r="A2136">
        <v>40</v>
      </c>
      <c r="B2136">
        <v>20</v>
      </c>
      <c r="C2136" t="s">
        <v>1525</v>
      </c>
      <c r="D2136" s="5">
        <v>0</v>
      </c>
      <c r="E2136" t="s">
        <v>2599</v>
      </c>
    </row>
    <row r="2137" spans="1:5" hidden="1" x14ac:dyDescent="0.25">
      <c r="A2137">
        <v>40</v>
      </c>
      <c r="B2137">
        <v>20</v>
      </c>
      <c r="C2137" t="s">
        <v>39</v>
      </c>
      <c r="D2137" s="4">
        <v>0</v>
      </c>
      <c r="E2137" t="s">
        <v>39</v>
      </c>
    </row>
    <row r="2138" spans="1:5" x14ac:dyDescent="0.25">
      <c r="A2138">
        <v>40</v>
      </c>
      <c r="B2138">
        <v>20</v>
      </c>
      <c r="C2138" t="s">
        <v>1095</v>
      </c>
      <c r="D2138" s="5">
        <v>0</v>
      </c>
      <c r="E2138" t="s">
        <v>1526</v>
      </c>
    </row>
    <row r="2139" spans="1:5" hidden="1" x14ac:dyDescent="0.25">
      <c r="A2139">
        <v>40</v>
      </c>
      <c r="B2139">
        <v>20</v>
      </c>
      <c r="C2139" t="s">
        <v>39</v>
      </c>
      <c r="D2139" s="4">
        <v>0</v>
      </c>
      <c r="E2139" t="s">
        <v>39</v>
      </c>
    </row>
    <row r="2140" spans="1:5" x14ac:dyDescent="0.25">
      <c r="A2140">
        <v>40</v>
      </c>
      <c r="B2140">
        <v>20</v>
      </c>
      <c r="C2140" t="s">
        <v>547</v>
      </c>
      <c r="D2140" s="5">
        <v>0</v>
      </c>
      <c r="E2140" t="s">
        <v>548</v>
      </c>
    </row>
    <row r="2141" spans="1:5" x14ac:dyDescent="0.25">
      <c r="A2141">
        <v>41</v>
      </c>
      <c r="B2141">
        <v>1</v>
      </c>
      <c r="C2141" t="s">
        <v>1527</v>
      </c>
      <c r="D2141" s="5">
        <v>0</v>
      </c>
      <c r="E2141" t="s">
        <v>1528</v>
      </c>
    </row>
    <row r="2142" spans="1:5" hidden="1" x14ac:dyDescent="0.25">
      <c r="A2142">
        <v>41</v>
      </c>
      <c r="B2142">
        <v>1</v>
      </c>
      <c r="C2142" t="s">
        <v>39</v>
      </c>
      <c r="D2142" s="4">
        <v>0</v>
      </c>
      <c r="E2142" t="s">
        <v>39</v>
      </c>
    </row>
    <row r="2143" spans="1:5" x14ac:dyDescent="0.25">
      <c r="A2143">
        <v>41</v>
      </c>
      <c r="B2143">
        <v>1</v>
      </c>
      <c r="C2143" t="s">
        <v>122</v>
      </c>
      <c r="D2143" s="5">
        <v>0</v>
      </c>
      <c r="E2143" t="s">
        <v>123</v>
      </c>
    </row>
    <row r="2144" spans="1:5" hidden="1" x14ac:dyDescent="0.25">
      <c r="A2144">
        <v>41</v>
      </c>
      <c r="B2144">
        <v>1</v>
      </c>
      <c r="C2144" t="s">
        <v>39</v>
      </c>
      <c r="D2144" s="4">
        <v>0</v>
      </c>
      <c r="E2144" t="s">
        <v>39</v>
      </c>
    </row>
    <row r="2145" spans="1:5" x14ac:dyDescent="0.25">
      <c r="A2145">
        <v>41</v>
      </c>
      <c r="B2145">
        <v>1</v>
      </c>
      <c r="C2145" t="s">
        <v>1529</v>
      </c>
      <c r="D2145" s="5">
        <v>0</v>
      </c>
      <c r="E2145" t="s">
        <v>1530</v>
      </c>
    </row>
    <row r="2146" spans="1:5" hidden="1" x14ac:dyDescent="0.25">
      <c r="A2146">
        <v>41</v>
      </c>
      <c r="B2146">
        <v>1</v>
      </c>
      <c r="C2146" t="s">
        <v>39</v>
      </c>
      <c r="D2146" s="4">
        <v>0</v>
      </c>
      <c r="E2146" t="s">
        <v>39</v>
      </c>
    </row>
    <row r="2147" spans="1:5" hidden="1" x14ac:dyDescent="0.25">
      <c r="A2147">
        <v>41</v>
      </c>
      <c r="B2147">
        <v>4</v>
      </c>
      <c r="C2147" t="s">
        <v>39</v>
      </c>
      <c r="D2147" s="4">
        <v>0</v>
      </c>
      <c r="E2147" t="s">
        <v>39</v>
      </c>
    </row>
    <row r="2148" spans="1:5" x14ac:dyDescent="0.25">
      <c r="A2148">
        <v>41</v>
      </c>
      <c r="B2148">
        <v>4</v>
      </c>
      <c r="C2148" t="s">
        <v>1389</v>
      </c>
      <c r="D2148" s="5">
        <v>0</v>
      </c>
      <c r="E2148" t="s">
        <v>1500</v>
      </c>
    </row>
    <row r="2149" spans="1:5" hidden="1" x14ac:dyDescent="0.25">
      <c r="A2149">
        <v>41</v>
      </c>
      <c r="B2149">
        <v>4</v>
      </c>
      <c r="C2149" t="s">
        <v>39</v>
      </c>
      <c r="D2149" s="4">
        <v>0</v>
      </c>
      <c r="E2149" t="s">
        <v>39</v>
      </c>
    </row>
    <row r="2150" spans="1:5" x14ac:dyDescent="0.25">
      <c r="A2150">
        <v>41</v>
      </c>
      <c r="B2150">
        <v>4</v>
      </c>
      <c r="C2150" t="s">
        <v>1531</v>
      </c>
      <c r="D2150" s="5">
        <v>0</v>
      </c>
      <c r="E2150" t="s">
        <v>1532</v>
      </c>
    </row>
    <row r="2151" spans="1:5" hidden="1" x14ac:dyDescent="0.25">
      <c r="A2151">
        <v>41</v>
      </c>
      <c r="B2151">
        <v>4</v>
      </c>
      <c r="C2151" t="s">
        <v>39</v>
      </c>
      <c r="D2151" s="4">
        <v>0</v>
      </c>
      <c r="E2151" t="s">
        <v>39</v>
      </c>
    </row>
    <row r="2152" spans="1:5" x14ac:dyDescent="0.25">
      <c r="A2152">
        <v>41</v>
      </c>
      <c r="B2152">
        <v>4</v>
      </c>
      <c r="C2152" t="s">
        <v>1533</v>
      </c>
      <c r="D2152" s="5">
        <v>0</v>
      </c>
      <c r="E2152" t="s">
        <v>1534</v>
      </c>
    </row>
    <row r="2153" spans="1:5" hidden="1" x14ac:dyDescent="0.25">
      <c r="A2153">
        <v>41</v>
      </c>
      <c r="B2153">
        <v>4</v>
      </c>
      <c r="C2153" t="s">
        <v>39</v>
      </c>
      <c r="D2153" s="4">
        <v>0</v>
      </c>
      <c r="E2153" t="s">
        <v>39</v>
      </c>
    </row>
    <row r="2154" spans="1:5" x14ac:dyDescent="0.25">
      <c r="A2154">
        <v>41</v>
      </c>
      <c r="B2154">
        <v>4</v>
      </c>
      <c r="C2154" t="s">
        <v>595</v>
      </c>
      <c r="D2154" s="5">
        <v>0</v>
      </c>
      <c r="E2154" t="s">
        <v>1069</v>
      </c>
    </row>
    <row r="2155" spans="1:5" hidden="1" x14ac:dyDescent="0.25">
      <c r="A2155">
        <v>41</v>
      </c>
      <c r="B2155">
        <v>4</v>
      </c>
      <c r="C2155" t="s">
        <v>39</v>
      </c>
      <c r="D2155" s="4">
        <v>0</v>
      </c>
      <c r="E2155" t="s">
        <v>39</v>
      </c>
    </row>
    <row r="2156" spans="1:5" hidden="1" x14ac:dyDescent="0.25">
      <c r="A2156">
        <v>41</v>
      </c>
      <c r="B2156">
        <v>7</v>
      </c>
      <c r="C2156" t="s">
        <v>39</v>
      </c>
      <c r="D2156" s="4">
        <v>0</v>
      </c>
      <c r="E2156" t="s">
        <v>39</v>
      </c>
    </row>
    <row r="2157" spans="1:5" x14ac:dyDescent="0.25">
      <c r="A2157">
        <v>41</v>
      </c>
      <c r="B2157">
        <v>7</v>
      </c>
      <c r="C2157" t="s">
        <v>1535</v>
      </c>
      <c r="D2157" s="5">
        <v>0</v>
      </c>
      <c r="E2157" t="s">
        <v>1536</v>
      </c>
    </row>
    <row r="2158" spans="1:5" hidden="1" x14ac:dyDescent="0.25">
      <c r="A2158">
        <v>41</v>
      </c>
      <c r="B2158">
        <v>7</v>
      </c>
      <c r="C2158" t="s">
        <v>39</v>
      </c>
      <c r="D2158" s="4">
        <v>0</v>
      </c>
      <c r="E2158" t="s">
        <v>39</v>
      </c>
    </row>
    <row r="2159" spans="1:5" x14ac:dyDescent="0.25">
      <c r="A2159">
        <v>41</v>
      </c>
      <c r="B2159">
        <v>7</v>
      </c>
      <c r="C2159" t="s">
        <v>1537</v>
      </c>
      <c r="D2159" s="5">
        <v>0</v>
      </c>
      <c r="E2159" t="s">
        <v>1538</v>
      </c>
    </row>
    <row r="2160" spans="1:5" hidden="1" x14ac:dyDescent="0.25">
      <c r="A2160">
        <v>41</v>
      </c>
      <c r="B2160">
        <v>7</v>
      </c>
      <c r="C2160" t="s">
        <v>39</v>
      </c>
      <c r="D2160" s="4">
        <v>0</v>
      </c>
      <c r="E2160" t="s">
        <v>39</v>
      </c>
    </row>
    <row r="2161" spans="1:5" x14ac:dyDescent="0.25">
      <c r="A2161">
        <v>41</v>
      </c>
      <c r="B2161">
        <v>7</v>
      </c>
      <c r="C2161" t="s">
        <v>97</v>
      </c>
      <c r="D2161" s="5">
        <v>0</v>
      </c>
      <c r="E2161" t="s">
        <v>98</v>
      </c>
    </row>
    <row r="2162" spans="1:5" hidden="1" x14ac:dyDescent="0.25">
      <c r="A2162">
        <v>41</v>
      </c>
      <c r="B2162">
        <v>7</v>
      </c>
      <c r="C2162" t="s">
        <v>39</v>
      </c>
      <c r="D2162" s="4">
        <v>0</v>
      </c>
      <c r="E2162" t="s">
        <v>39</v>
      </c>
    </row>
    <row r="2163" spans="1:5" x14ac:dyDescent="0.25">
      <c r="A2163">
        <v>41</v>
      </c>
      <c r="B2163">
        <v>7</v>
      </c>
      <c r="C2163" t="s">
        <v>1539</v>
      </c>
      <c r="D2163" s="5">
        <v>0</v>
      </c>
      <c r="E2163" t="s">
        <v>1540</v>
      </c>
    </row>
    <row r="2164" spans="1:5" hidden="1" x14ac:dyDescent="0.25">
      <c r="A2164">
        <v>41</v>
      </c>
      <c r="B2164">
        <v>7</v>
      </c>
      <c r="C2164" t="s">
        <v>39</v>
      </c>
      <c r="D2164" s="4">
        <v>0</v>
      </c>
      <c r="E2164" t="s">
        <v>39</v>
      </c>
    </row>
    <row r="2165" spans="1:5" hidden="1" x14ac:dyDescent="0.25">
      <c r="A2165">
        <v>41</v>
      </c>
      <c r="B2165">
        <v>10</v>
      </c>
      <c r="C2165" t="s">
        <v>39</v>
      </c>
      <c r="D2165" s="4">
        <v>0</v>
      </c>
      <c r="E2165" t="s">
        <v>39</v>
      </c>
    </row>
    <row r="2166" spans="1:5" x14ac:dyDescent="0.25">
      <c r="A2166">
        <v>41</v>
      </c>
      <c r="B2166">
        <v>10</v>
      </c>
      <c r="C2166" t="s">
        <v>1541</v>
      </c>
      <c r="D2166" s="5">
        <v>0</v>
      </c>
      <c r="E2166" t="s">
        <v>1542</v>
      </c>
    </row>
    <row r="2167" spans="1:5" hidden="1" x14ac:dyDescent="0.25">
      <c r="A2167">
        <v>41</v>
      </c>
      <c r="B2167">
        <v>10</v>
      </c>
      <c r="C2167" t="s">
        <v>39</v>
      </c>
      <c r="D2167" s="4">
        <v>0</v>
      </c>
      <c r="E2167" t="s">
        <v>39</v>
      </c>
    </row>
    <row r="2168" spans="1:5" x14ac:dyDescent="0.25">
      <c r="A2168">
        <v>41</v>
      </c>
      <c r="B2168">
        <v>10</v>
      </c>
      <c r="C2168" t="s">
        <v>1543</v>
      </c>
      <c r="D2168" s="5">
        <v>0</v>
      </c>
      <c r="E2168" t="s">
        <v>1544</v>
      </c>
    </row>
    <row r="2169" spans="1:5" hidden="1" x14ac:dyDescent="0.25">
      <c r="A2169">
        <v>41</v>
      </c>
      <c r="B2169">
        <v>10</v>
      </c>
      <c r="C2169" t="s">
        <v>39</v>
      </c>
      <c r="D2169" s="4">
        <v>0</v>
      </c>
      <c r="E2169" t="s">
        <v>39</v>
      </c>
    </row>
    <row r="2170" spans="1:5" hidden="1" x14ac:dyDescent="0.25">
      <c r="A2170">
        <v>41</v>
      </c>
      <c r="B2170">
        <v>13</v>
      </c>
      <c r="C2170" t="s">
        <v>39</v>
      </c>
      <c r="D2170" s="4">
        <v>0</v>
      </c>
      <c r="E2170" t="s">
        <v>39</v>
      </c>
    </row>
    <row r="2171" spans="1:5" x14ac:dyDescent="0.25">
      <c r="A2171">
        <v>41</v>
      </c>
      <c r="B2171">
        <v>13</v>
      </c>
      <c r="C2171" t="s">
        <v>1545</v>
      </c>
      <c r="D2171" s="5">
        <v>0</v>
      </c>
      <c r="E2171" t="s">
        <v>1546</v>
      </c>
    </row>
    <row r="2172" spans="1:5" hidden="1" x14ac:dyDescent="0.25">
      <c r="A2172">
        <v>41</v>
      </c>
      <c r="B2172">
        <v>13</v>
      </c>
      <c r="C2172" t="s">
        <v>39</v>
      </c>
      <c r="D2172" s="4">
        <v>0</v>
      </c>
      <c r="E2172" t="s">
        <v>39</v>
      </c>
    </row>
    <row r="2173" spans="1:5" x14ac:dyDescent="0.25">
      <c r="A2173">
        <v>41</v>
      </c>
      <c r="B2173">
        <v>13</v>
      </c>
      <c r="C2173" t="s">
        <v>1547</v>
      </c>
      <c r="D2173" s="5">
        <v>0</v>
      </c>
      <c r="E2173" t="s">
        <v>1548</v>
      </c>
    </row>
    <row r="2174" spans="1:5" hidden="1" x14ac:dyDescent="0.25">
      <c r="A2174">
        <v>41</v>
      </c>
      <c r="B2174">
        <v>13</v>
      </c>
      <c r="C2174" t="s">
        <v>39</v>
      </c>
      <c r="D2174" s="4">
        <v>0</v>
      </c>
      <c r="E2174" t="s">
        <v>39</v>
      </c>
    </row>
    <row r="2175" spans="1:5" x14ac:dyDescent="0.25">
      <c r="A2175">
        <v>41</v>
      </c>
      <c r="B2175">
        <v>13</v>
      </c>
      <c r="C2175" t="s">
        <v>1549</v>
      </c>
      <c r="D2175" s="5">
        <v>0</v>
      </c>
      <c r="E2175" t="s">
        <v>2600</v>
      </c>
    </row>
    <row r="2176" spans="1:5" hidden="1" x14ac:dyDescent="0.25">
      <c r="A2176">
        <v>41</v>
      </c>
      <c r="B2176">
        <v>13</v>
      </c>
      <c r="C2176" t="s">
        <v>39</v>
      </c>
      <c r="D2176" s="4">
        <v>0</v>
      </c>
      <c r="E2176" t="s">
        <v>39</v>
      </c>
    </row>
    <row r="2177" spans="1:5" x14ac:dyDescent="0.25">
      <c r="A2177">
        <v>41</v>
      </c>
      <c r="B2177">
        <v>13</v>
      </c>
      <c r="C2177" t="s">
        <v>812</v>
      </c>
      <c r="D2177" s="5">
        <v>0</v>
      </c>
      <c r="E2177" t="s">
        <v>813</v>
      </c>
    </row>
    <row r="2178" spans="1:5" hidden="1" x14ac:dyDescent="0.25">
      <c r="A2178">
        <v>41</v>
      </c>
      <c r="B2178">
        <v>13</v>
      </c>
      <c r="C2178" t="s">
        <v>39</v>
      </c>
      <c r="D2178" s="4">
        <v>0</v>
      </c>
      <c r="E2178" t="s">
        <v>39</v>
      </c>
    </row>
    <row r="2179" spans="1:5" hidden="1" x14ac:dyDescent="0.25">
      <c r="A2179">
        <v>41</v>
      </c>
      <c r="B2179">
        <v>16</v>
      </c>
      <c r="C2179" t="s">
        <v>39</v>
      </c>
      <c r="D2179" s="4">
        <v>0</v>
      </c>
      <c r="E2179" t="s">
        <v>39</v>
      </c>
    </row>
    <row r="2180" spans="1:5" x14ac:dyDescent="0.25">
      <c r="A2180">
        <v>41</v>
      </c>
      <c r="B2180">
        <v>16</v>
      </c>
      <c r="C2180" t="s">
        <v>1550</v>
      </c>
      <c r="D2180" s="5">
        <v>0</v>
      </c>
      <c r="E2180" t="s">
        <v>1551</v>
      </c>
    </row>
    <row r="2181" spans="1:5" hidden="1" x14ac:dyDescent="0.25">
      <c r="A2181">
        <v>41</v>
      </c>
      <c r="B2181">
        <v>16</v>
      </c>
      <c r="C2181" t="s">
        <v>39</v>
      </c>
      <c r="D2181" s="4">
        <v>0</v>
      </c>
      <c r="E2181" t="s">
        <v>39</v>
      </c>
    </row>
    <row r="2182" spans="1:5" x14ac:dyDescent="0.25">
      <c r="A2182">
        <v>41</v>
      </c>
      <c r="B2182">
        <v>16</v>
      </c>
      <c r="C2182" t="s">
        <v>1552</v>
      </c>
      <c r="D2182" s="5">
        <v>0</v>
      </c>
      <c r="E2182" t="s">
        <v>1553</v>
      </c>
    </row>
    <row r="2183" spans="1:5" hidden="1" x14ac:dyDescent="0.25">
      <c r="A2183">
        <v>41</v>
      </c>
      <c r="B2183">
        <v>16</v>
      </c>
      <c r="C2183" t="s">
        <v>39</v>
      </c>
      <c r="D2183" s="4">
        <v>0</v>
      </c>
      <c r="E2183" t="s">
        <v>39</v>
      </c>
    </row>
    <row r="2184" spans="1:5" x14ac:dyDescent="0.25">
      <c r="A2184">
        <v>41</v>
      </c>
      <c r="B2184">
        <v>16</v>
      </c>
      <c r="C2184" t="s">
        <v>509</v>
      </c>
      <c r="D2184" s="5">
        <v>0</v>
      </c>
      <c r="E2184" t="s">
        <v>820</v>
      </c>
    </row>
    <row r="2185" spans="1:5" hidden="1" x14ac:dyDescent="0.25">
      <c r="A2185">
        <v>41</v>
      </c>
      <c r="B2185">
        <v>16</v>
      </c>
      <c r="C2185" t="s">
        <v>39</v>
      </c>
      <c r="D2185" s="4">
        <v>0</v>
      </c>
      <c r="E2185" t="s">
        <v>39</v>
      </c>
    </row>
    <row r="2186" spans="1:5" x14ac:dyDescent="0.25">
      <c r="A2186">
        <v>41</v>
      </c>
      <c r="B2186">
        <v>16</v>
      </c>
      <c r="C2186" t="s">
        <v>1554</v>
      </c>
      <c r="D2186" s="5">
        <v>0</v>
      </c>
      <c r="E2186" t="s">
        <v>1555</v>
      </c>
    </row>
    <row r="2187" spans="1:5" hidden="1" x14ac:dyDescent="0.25">
      <c r="A2187">
        <v>41</v>
      </c>
      <c r="B2187">
        <v>16</v>
      </c>
      <c r="C2187" t="s">
        <v>39</v>
      </c>
      <c r="D2187" s="4">
        <v>0</v>
      </c>
      <c r="E2187" t="s">
        <v>39</v>
      </c>
    </row>
    <row r="2188" spans="1:5" hidden="1" x14ac:dyDescent="0.25">
      <c r="A2188">
        <v>41</v>
      </c>
      <c r="B2188">
        <v>20</v>
      </c>
      <c r="C2188" t="s">
        <v>39</v>
      </c>
      <c r="D2188" s="4">
        <v>0</v>
      </c>
      <c r="E2188" t="s">
        <v>39</v>
      </c>
    </row>
    <row r="2189" spans="1:5" x14ac:dyDescent="0.25">
      <c r="A2189">
        <v>41</v>
      </c>
      <c r="B2189">
        <v>20</v>
      </c>
      <c r="C2189" t="s">
        <v>1556</v>
      </c>
      <c r="D2189" s="5">
        <v>0</v>
      </c>
      <c r="E2189" t="s">
        <v>2601</v>
      </c>
    </row>
    <row r="2190" spans="1:5" hidden="1" x14ac:dyDescent="0.25">
      <c r="A2190">
        <v>41</v>
      </c>
      <c r="B2190">
        <v>20</v>
      </c>
      <c r="C2190" t="s">
        <v>39</v>
      </c>
      <c r="D2190" s="4">
        <v>0</v>
      </c>
      <c r="E2190" t="s">
        <v>39</v>
      </c>
    </row>
    <row r="2191" spans="1:5" x14ac:dyDescent="0.25">
      <c r="A2191">
        <v>41</v>
      </c>
      <c r="B2191">
        <v>20</v>
      </c>
      <c r="C2191" t="s">
        <v>1557</v>
      </c>
      <c r="D2191" s="5">
        <v>0</v>
      </c>
      <c r="E2191" t="s">
        <v>1558</v>
      </c>
    </row>
    <row r="2192" spans="1:5" hidden="1" x14ac:dyDescent="0.25">
      <c r="A2192">
        <v>41</v>
      </c>
      <c r="B2192">
        <v>20</v>
      </c>
      <c r="C2192" t="s">
        <v>39</v>
      </c>
      <c r="D2192" s="4">
        <v>0</v>
      </c>
      <c r="E2192" t="s">
        <v>39</v>
      </c>
    </row>
    <row r="2193" spans="1:5" x14ac:dyDescent="0.25">
      <c r="A2193">
        <v>41</v>
      </c>
      <c r="B2193">
        <v>20</v>
      </c>
      <c r="C2193" t="s">
        <v>120</v>
      </c>
      <c r="D2193" s="5">
        <v>0</v>
      </c>
      <c r="E2193" t="s">
        <v>121</v>
      </c>
    </row>
    <row r="2194" spans="1:5" hidden="1" x14ac:dyDescent="0.25">
      <c r="A2194">
        <v>41</v>
      </c>
      <c r="B2194">
        <v>20</v>
      </c>
      <c r="C2194" t="s">
        <v>39</v>
      </c>
      <c r="D2194" s="4">
        <v>0</v>
      </c>
      <c r="E2194" t="s">
        <v>39</v>
      </c>
    </row>
    <row r="2195" spans="1:5" x14ac:dyDescent="0.25">
      <c r="A2195">
        <v>41</v>
      </c>
      <c r="B2195">
        <v>20</v>
      </c>
      <c r="C2195" t="s">
        <v>1559</v>
      </c>
      <c r="D2195" s="5">
        <v>0</v>
      </c>
      <c r="E2195" t="s">
        <v>1560</v>
      </c>
    </row>
    <row r="2196" spans="1:5" x14ac:dyDescent="0.25">
      <c r="A2196">
        <v>42</v>
      </c>
      <c r="B2196">
        <v>1</v>
      </c>
      <c r="C2196" t="s">
        <v>1561</v>
      </c>
      <c r="D2196" s="5">
        <v>0</v>
      </c>
      <c r="E2196" t="s">
        <v>1562</v>
      </c>
    </row>
    <row r="2197" spans="1:5" hidden="1" x14ac:dyDescent="0.25">
      <c r="A2197">
        <v>42</v>
      </c>
      <c r="B2197">
        <v>1</v>
      </c>
      <c r="C2197" t="s">
        <v>39</v>
      </c>
      <c r="D2197" s="4">
        <v>0</v>
      </c>
      <c r="E2197" t="s">
        <v>39</v>
      </c>
    </row>
    <row r="2198" spans="1:5" x14ac:dyDescent="0.25">
      <c r="A2198">
        <v>42</v>
      </c>
      <c r="B2198">
        <v>1</v>
      </c>
      <c r="C2198" t="s">
        <v>47</v>
      </c>
      <c r="D2198" s="5">
        <v>0</v>
      </c>
      <c r="E2198" t="s">
        <v>48</v>
      </c>
    </row>
    <row r="2199" spans="1:5" hidden="1" x14ac:dyDescent="0.25">
      <c r="A2199">
        <v>42</v>
      </c>
      <c r="B2199">
        <v>1</v>
      </c>
      <c r="C2199" t="s">
        <v>39</v>
      </c>
      <c r="D2199" s="4">
        <v>0</v>
      </c>
      <c r="E2199" t="s">
        <v>39</v>
      </c>
    </row>
    <row r="2200" spans="1:5" x14ac:dyDescent="0.25">
      <c r="A2200">
        <v>42</v>
      </c>
      <c r="B2200">
        <v>1</v>
      </c>
      <c r="C2200" t="s">
        <v>1563</v>
      </c>
      <c r="D2200" s="5">
        <v>0</v>
      </c>
      <c r="E2200" t="s">
        <v>1564</v>
      </c>
    </row>
    <row r="2201" spans="1:5" hidden="1" x14ac:dyDescent="0.25">
      <c r="A2201">
        <v>42</v>
      </c>
      <c r="B2201">
        <v>1</v>
      </c>
      <c r="C2201" t="s">
        <v>39</v>
      </c>
      <c r="D2201" s="4">
        <v>0</v>
      </c>
      <c r="E2201" t="s">
        <v>39</v>
      </c>
    </row>
    <row r="2202" spans="1:5" x14ac:dyDescent="0.25">
      <c r="A2202">
        <v>42</v>
      </c>
      <c r="B2202">
        <v>1</v>
      </c>
      <c r="C2202" t="s">
        <v>1565</v>
      </c>
      <c r="D2202" s="5">
        <v>0</v>
      </c>
      <c r="E2202" t="s">
        <v>1566</v>
      </c>
    </row>
    <row r="2203" spans="1:5" hidden="1" x14ac:dyDescent="0.25">
      <c r="A2203">
        <v>42</v>
      </c>
      <c r="B2203">
        <v>1</v>
      </c>
      <c r="C2203" t="s">
        <v>39</v>
      </c>
      <c r="D2203" s="4">
        <v>0</v>
      </c>
      <c r="E2203" t="s">
        <v>39</v>
      </c>
    </row>
    <row r="2204" spans="1:5" hidden="1" x14ac:dyDescent="0.25">
      <c r="A2204">
        <v>42</v>
      </c>
      <c r="B2204">
        <v>4</v>
      </c>
      <c r="C2204" t="s">
        <v>39</v>
      </c>
      <c r="D2204" s="4">
        <v>0</v>
      </c>
      <c r="E2204" t="s">
        <v>39</v>
      </c>
    </row>
    <row r="2205" spans="1:5" x14ac:dyDescent="0.25">
      <c r="A2205">
        <v>42</v>
      </c>
      <c r="B2205">
        <v>4</v>
      </c>
      <c r="C2205" t="s">
        <v>791</v>
      </c>
      <c r="D2205" s="5">
        <v>0</v>
      </c>
      <c r="E2205" t="s">
        <v>792</v>
      </c>
    </row>
    <row r="2206" spans="1:5" hidden="1" x14ac:dyDescent="0.25">
      <c r="A2206">
        <v>42</v>
      </c>
      <c r="B2206">
        <v>4</v>
      </c>
      <c r="C2206" t="s">
        <v>39</v>
      </c>
      <c r="D2206" s="4">
        <v>0</v>
      </c>
      <c r="E2206" t="s">
        <v>39</v>
      </c>
    </row>
    <row r="2207" spans="1:5" x14ac:dyDescent="0.25">
      <c r="A2207">
        <v>42</v>
      </c>
      <c r="B2207">
        <v>4</v>
      </c>
      <c r="C2207" t="s">
        <v>595</v>
      </c>
      <c r="D2207" s="5">
        <v>0</v>
      </c>
      <c r="E2207" t="s">
        <v>1069</v>
      </c>
    </row>
    <row r="2208" spans="1:5" hidden="1" x14ac:dyDescent="0.25">
      <c r="A2208">
        <v>42</v>
      </c>
      <c r="B2208">
        <v>4</v>
      </c>
      <c r="C2208" t="s">
        <v>39</v>
      </c>
      <c r="D2208" s="4">
        <v>0</v>
      </c>
      <c r="E2208" t="s">
        <v>39</v>
      </c>
    </row>
    <row r="2209" spans="1:5" x14ac:dyDescent="0.25">
      <c r="A2209">
        <v>42</v>
      </c>
      <c r="B2209">
        <v>4</v>
      </c>
      <c r="C2209" t="s">
        <v>1567</v>
      </c>
      <c r="D2209" s="5">
        <v>0</v>
      </c>
      <c r="E2209" t="s">
        <v>1568</v>
      </c>
    </row>
    <row r="2210" spans="1:5" hidden="1" x14ac:dyDescent="0.25">
      <c r="A2210">
        <v>42</v>
      </c>
      <c r="B2210">
        <v>4</v>
      </c>
      <c r="C2210" t="s">
        <v>39</v>
      </c>
      <c r="D2210" s="4">
        <v>0</v>
      </c>
      <c r="E2210" t="s">
        <v>39</v>
      </c>
    </row>
    <row r="2211" spans="1:5" x14ac:dyDescent="0.25">
      <c r="A2211">
        <v>42</v>
      </c>
      <c r="B2211">
        <v>4</v>
      </c>
      <c r="C2211" t="s">
        <v>1569</v>
      </c>
      <c r="D2211" s="5">
        <v>0</v>
      </c>
      <c r="E2211" t="s">
        <v>1570</v>
      </c>
    </row>
    <row r="2212" spans="1:5" hidden="1" x14ac:dyDescent="0.25">
      <c r="A2212">
        <v>42</v>
      </c>
      <c r="B2212">
        <v>4</v>
      </c>
      <c r="C2212" t="s">
        <v>39</v>
      </c>
      <c r="D2212" s="4">
        <v>0</v>
      </c>
      <c r="E2212" t="s">
        <v>39</v>
      </c>
    </row>
    <row r="2213" spans="1:5" hidden="1" x14ac:dyDescent="0.25">
      <c r="A2213">
        <v>42</v>
      </c>
      <c r="B2213">
        <v>7</v>
      </c>
      <c r="C2213" t="s">
        <v>39</v>
      </c>
      <c r="D2213" s="4">
        <v>0</v>
      </c>
      <c r="E2213" t="s">
        <v>39</v>
      </c>
    </row>
    <row r="2214" spans="1:5" x14ac:dyDescent="0.25">
      <c r="A2214">
        <v>42</v>
      </c>
      <c r="B2214">
        <v>7</v>
      </c>
      <c r="C2214" t="s">
        <v>1571</v>
      </c>
      <c r="D2214" s="5">
        <v>0</v>
      </c>
      <c r="E2214" t="s">
        <v>1572</v>
      </c>
    </row>
    <row r="2215" spans="1:5" hidden="1" x14ac:dyDescent="0.25">
      <c r="A2215">
        <v>42</v>
      </c>
      <c r="B2215">
        <v>7</v>
      </c>
      <c r="C2215" t="s">
        <v>39</v>
      </c>
      <c r="D2215" s="4">
        <v>0</v>
      </c>
      <c r="E2215" t="s">
        <v>39</v>
      </c>
    </row>
    <row r="2216" spans="1:5" x14ac:dyDescent="0.25">
      <c r="A2216">
        <v>42</v>
      </c>
      <c r="B2216">
        <v>7</v>
      </c>
      <c r="C2216" t="s">
        <v>1573</v>
      </c>
      <c r="D2216" s="5">
        <v>0</v>
      </c>
      <c r="E2216" t="s">
        <v>1574</v>
      </c>
    </row>
    <row r="2217" spans="1:5" hidden="1" x14ac:dyDescent="0.25">
      <c r="A2217">
        <v>42</v>
      </c>
      <c r="B2217">
        <v>7</v>
      </c>
      <c r="C2217" t="s">
        <v>39</v>
      </c>
      <c r="D2217" s="4">
        <v>0</v>
      </c>
      <c r="E2217" t="s">
        <v>39</v>
      </c>
    </row>
    <row r="2218" spans="1:5" x14ac:dyDescent="0.25">
      <c r="A2218">
        <v>42</v>
      </c>
      <c r="B2218">
        <v>7</v>
      </c>
      <c r="C2218" t="s">
        <v>1575</v>
      </c>
      <c r="D2218" s="5">
        <v>0</v>
      </c>
      <c r="E2218" t="s">
        <v>1576</v>
      </c>
    </row>
    <row r="2219" spans="1:5" hidden="1" x14ac:dyDescent="0.25">
      <c r="A2219">
        <v>42</v>
      </c>
      <c r="B2219">
        <v>7</v>
      </c>
      <c r="C2219" t="s">
        <v>39</v>
      </c>
      <c r="D2219" s="4">
        <v>0</v>
      </c>
      <c r="E2219" t="s">
        <v>39</v>
      </c>
    </row>
    <row r="2220" spans="1:5" x14ac:dyDescent="0.25">
      <c r="A2220">
        <v>42</v>
      </c>
      <c r="B2220">
        <v>7</v>
      </c>
      <c r="C2220" t="s">
        <v>1577</v>
      </c>
      <c r="D2220" s="5">
        <v>0</v>
      </c>
      <c r="E2220" t="s">
        <v>1578</v>
      </c>
    </row>
    <row r="2221" spans="1:5" hidden="1" x14ac:dyDescent="0.25">
      <c r="A2221">
        <v>42</v>
      </c>
      <c r="B2221">
        <v>7</v>
      </c>
      <c r="C2221" t="s">
        <v>39</v>
      </c>
      <c r="D2221" s="4">
        <v>0</v>
      </c>
      <c r="E2221" t="s">
        <v>39</v>
      </c>
    </row>
    <row r="2222" spans="1:5" hidden="1" x14ac:dyDescent="0.25">
      <c r="A2222">
        <v>42</v>
      </c>
      <c r="B2222">
        <v>10</v>
      </c>
      <c r="C2222" t="s">
        <v>39</v>
      </c>
      <c r="D2222" s="4">
        <v>0</v>
      </c>
      <c r="E2222" t="s">
        <v>39</v>
      </c>
    </row>
    <row r="2223" spans="1:5" x14ac:dyDescent="0.25">
      <c r="A2223">
        <v>42</v>
      </c>
      <c r="B2223">
        <v>10</v>
      </c>
      <c r="C2223" t="s">
        <v>1579</v>
      </c>
      <c r="D2223" s="5">
        <v>0</v>
      </c>
      <c r="E2223" t="s">
        <v>1580</v>
      </c>
    </row>
    <row r="2224" spans="1:5" hidden="1" x14ac:dyDescent="0.25">
      <c r="A2224">
        <v>42</v>
      </c>
      <c r="B2224">
        <v>10</v>
      </c>
      <c r="C2224" t="s">
        <v>39</v>
      </c>
      <c r="D2224" s="4">
        <v>0</v>
      </c>
      <c r="E2224" t="s">
        <v>39</v>
      </c>
    </row>
    <row r="2225" spans="1:5" x14ac:dyDescent="0.25">
      <c r="A2225">
        <v>42</v>
      </c>
      <c r="B2225">
        <v>10</v>
      </c>
      <c r="C2225" t="s">
        <v>1581</v>
      </c>
      <c r="D2225" s="5">
        <v>0</v>
      </c>
      <c r="E2225" t="s">
        <v>2602</v>
      </c>
    </row>
    <row r="2226" spans="1:5" hidden="1" x14ac:dyDescent="0.25">
      <c r="A2226">
        <v>42</v>
      </c>
      <c r="B2226">
        <v>10</v>
      </c>
      <c r="C2226" t="s">
        <v>39</v>
      </c>
      <c r="D2226" s="4">
        <v>0</v>
      </c>
      <c r="E2226" t="s">
        <v>39</v>
      </c>
    </row>
    <row r="2227" spans="1:5" hidden="1" x14ac:dyDescent="0.25">
      <c r="A2227">
        <v>42</v>
      </c>
      <c r="B2227">
        <v>13</v>
      </c>
      <c r="C2227" t="s">
        <v>39</v>
      </c>
      <c r="D2227" s="4">
        <v>0</v>
      </c>
      <c r="E2227" t="s">
        <v>39</v>
      </c>
    </row>
    <row r="2228" spans="1:5" x14ac:dyDescent="0.25">
      <c r="A2228">
        <v>42</v>
      </c>
      <c r="B2228">
        <v>13</v>
      </c>
      <c r="C2228" t="s">
        <v>1582</v>
      </c>
      <c r="D2228" s="5">
        <v>0</v>
      </c>
      <c r="E2228" t="s">
        <v>1583</v>
      </c>
    </row>
    <row r="2229" spans="1:5" hidden="1" x14ac:dyDescent="0.25">
      <c r="A2229">
        <v>42</v>
      </c>
      <c r="B2229">
        <v>13</v>
      </c>
      <c r="C2229" t="s">
        <v>39</v>
      </c>
      <c r="D2229" s="4">
        <v>0</v>
      </c>
      <c r="E2229" t="s">
        <v>39</v>
      </c>
    </row>
    <row r="2230" spans="1:5" x14ac:dyDescent="0.25">
      <c r="A2230">
        <v>42</v>
      </c>
      <c r="B2230">
        <v>13</v>
      </c>
      <c r="C2230" t="s">
        <v>1584</v>
      </c>
      <c r="D2230" s="5">
        <v>0</v>
      </c>
      <c r="E2230" t="s">
        <v>1585</v>
      </c>
    </row>
    <row r="2231" spans="1:5" hidden="1" x14ac:dyDescent="0.25">
      <c r="A2231">
        <v>42</v>
      </c>
      <c r="B2231">
        <v>13</v>
      </c>
      <c r="C2231" t="s">
        <v>39</v>
      </c>
      <c r="D2231" s="4">
        <v>0</v>
      </c>
      <c r="E2231" t="s">
        <v>39</v>
      </c>
    </row>
    <row r="2232" spans="1:5" x14ac:dyDescent="0.25">
      <c r="A2232">
        <v>42</v>
      </c>
      <c r="B2232">
        <v>13</v>
      </c>
      <c r="C2232" t="s">
        <v>1586</v>
      </c>
      <c r="D2232" s="5">
        <v>0</v>
      </c>
      <c r="E2232" t="s">
        <v>1587</v>
      </c>
    </row>
    <row r="2233" spans="1:5" hidden="1" x14ac:dyDescent="0.25">
      <c r="A2233">
        <v>42</v>
      </c>
      <c r="B2233">
        <v>13</v>
      </c>
      <c r="C2233" t="s">
        <v>39</v>
      </c>
      <c r="D2233" s="4">
        <v>0</v>
      </c>
      <c r="E2233" t="s">
        <v>39</v>
      </c>
    </row>
    <row r="2234" spans="1:5" x14ac:dyDescent="0.25">
      <c r="A2234">
        <v>42</v>
      </c>
      <c r="B2234">
        <v>13</v>
      </c>
      <c r="C2234" t="s">
        <v>1588</v>
      </c>
      <c r="D2234" s="5">
        <v>0</v>
      </c>
      <c r="E2234" t="s">
        <v>1589</v>
      </c>
    </row>
    <row r="2235" spans="1:5" hidden="1" x14ac:dyDescent="0.25">
      <c r="A2235">
        <v>42</v>
      </c>
      <c r="B2235">
        <v>13</v>
      </c>
      <c r="C2235" t="s">
        <v>39</v>
      </c>
      <c r="D2235" s="4">
        <v>0</v>
      </c>
      <c r="E2235" t="s">
        <v>39</v>
      </c>
    </row>
    <row r="2236" spans="1:5" hidden="1" x14ac:dyDescent="0.25">
      <c r="A2236">
        <v>42</v>
      </c>
      <c r="B2236">
        <v>16</v>
      </c>
      <c r="C2236" t="s">
        <v>39</v>
      </c>
      <c r="D2236" s="4">
        <v>0</v>
      </c>
      <c r="E2236" t="s">
        <v>39</v>
      </c>
    </row>
    <row r="2237" spans="1:5" x14ac:dyDescent="0.25">
      <c r="A2237">
        <v>42</v>
      </c>
      <c r="B2237">
        <v>16</v>
      </c>
      <c r="C2237" t="s">
        <v>1590</v>
      </c>
      <c r="D2237" s="5">
        <v>0</v>
      </c>
      <c r="E2237" t="s">
        <v>2603</v>
      </c>
    </row>
    <row r="2238" spans="1:5" hidden="1" x14ac:dyDescent="0.25">
      <c r="A2238">
        <v>42</v>
      </c>
      <c r="B2238">
        <v>16</v>
      </c>
      <c r="C2238" t="s">
        <v>39</v>
      </c>
      <c r="D2238" s="4">
        <v>0</v>
      </c>
      <c r="E2238" t="s">
        <v>39</v>
      </c>
    </row>
    <row r="2239" spans="1:5" x14ac:dyDescent="0.25">
      <c r="A2239">
        <v>42</v>
      </c>
      <c r="B2239">
        <v>16</v>
      </c>
      <c r="C2239" t="s">
        <v>1591</v>
      </c>
      <c r="D2239" s="5">
        <v>0</v>
      </c>
      <c r="E2239" t="s">
        <v>1592</v>
      </c>
    </row>
    <row r="2240" spans="1:5" hidden="1" x14ac:dyDescent="0.25">
      <c r="A2240">
        <v>42</v>
      </c>
      <c r="B2240">
        <v>16</v>
      </c>
      <c r="C2240" t="s">
        <v>39</v>
      </c>
      <c r="D2240" s="4">
        <v>0</v>
      </c>
      <c r="E2240" t="s">
        <v>39</v>
      </c>
    </row>
    <row r="2241" spans="1:5" x14ac:dyDescent="0.25">
      <c r="A2241">
        <v>42</v>
      </c>
      <c r="B2241">
        <v>16</v>
      </c>
      <c r="C2241" t="s">
        <v>1593</v>
      </c>
      <c r="D2241" s="5">
        <v>0</v>
      </c>
      <c r="E2241" t="s">
        <v>1594</v>
      </c>
    </row>
    <row r="2242" spans="1:5" hidden="1" x14ac:dyDescent="0.25">
      <c r="A2242">
        <v>42</v>
      </c>
      <c r="B2242">
        <v>16</v>
      </c>
      <c r="C2242" t="s">
        <v>39</v>
      </c>
      <c r="D2242" s="4">
        <v>0</v>
      </c>
      <c r="E2242" t="s">
        <v>39</v>
      </c>
    </row>
    <row r="2243" spans="1:5" x14ac:dyDescent="0.25">
      <c r="A2243">
        <v>42</v>
      </c>
      <c r="B2243">
        <v>16</v>
      </c>
      <c r="C2243" t="s">
        <v>1522</v>
      </c>
      <c r="D2243" s="5">
        <v>0</v>
      </c>
      <c r="E2243" t="s">
        <v>1523</v>
      </c>
    </row>
    <row r="2244" spans="1:5" hidden="1" x14ac:dyDescent="0.25">
      <c r="A2244">
        <v>42</v>
      </c>
      <c r="B2244">
        <v>16</v>
      </c>
      <c r="C2244" t="s">
        <v>39</v>
      </c>
      <c r="D2244" s="4">
        <v>0</v>
      </c>
      <c r="E2244" t="s">
        <v>39</v>
      </c>
    </row>
    <row r="2245" spans="1:5" hidden="1" x14ac:dyDescent="0.25">
      <c r="A2245">
        <v>42</v>
      </c>
      <c r="B2245">
        <v>20</v>
      </c>
      <c r="C2245" t="s">
        <v>39</v>
      </c>
      <c r="D2245" s="4">
        <v>0</v>
      </c>
      <c r="E2245" t="s">
        <v>39</v>
      </c>
    </row>
    <row r="2246" spans="1:5" x14ac:dyDescent="0.25">
      <c r="A2246">
        <v>42</v>
      </c>
      <c r="B2246">
        <v>20</v>
      </c>
      <c r="C2246" t="s">
        <v>1595</v>
      </c>
      <c r="D2246" s="5">
        <v>0</v>
      </c>
      <c r="E2246" t="s">
        <v>1596</v>
      </c>
    </row>
    <row r="2247" spans="1:5" hidden="1" x14ac:dyDescent="0.25">
      <c r="A2247">
        <v>42</v>
      </c>
      <c r="B2247">
        <v>20</v>
      </c>
      <c r="C2247" t="s">
        <v>39</v>
      </c>
      <c r="D2247" s="4">
        <v>0</v>
      </c>
      <c r="E2247" t="s">
        <v>39</v>
      </c>
    </row>
    <row r="2248" spans="1:5" x14ac:dyDescent="0.25">
      <c r="A2248">
        <v>42</v>
      </c>
      <c r="B2248">
        <v>20</v>
      </c>
      <c r="C2248" t="s">
        <v>1597</v>
      </c>
      <c r="D2248" s="5">
        <v>0</v>
      </c>
      <c r="E2248" t="s">
        <v>1598</v>
      </c>
    </row>
    <row r="2249" spans="1:5" hidden="1" x14ac:dyDescent="0.25">
      <c r="A2249">
        <v>42</v>
      </c>
      <c r="B2249">
        <v>20</v>
      </c>
      <c r="C2249" t="s">
        <v>39</v>
      </c>
      <c r="D2249" s="4">
        <v>0</v>
      </c>
      <c r="E2249" t="s">
        <v>39</v>
      </c>
    </row>
    <row r="2250" spans="1:5" x14ac:dyDescent="0.25">
      <c r="A2250">
        <v>42</v>
      </c>
      <c r="B2250">
        <v>20</v>
      </c>
      <c r="C2250" t="s">
        <v>78</v>
      </c>
      <c r="D2250" s="5">
        <v>0</v>
      </c>
      <c r="E2250" t="s">
        <v>79</v>
      </c>
    </row>
    <row r="2251" spans="1:5" hidden="1" x14ac:dyDescent="0.25">
      <c r="A2251">
        <v>42</v>
      </c>
      <c r="B2251">
        <v>20</v>
      </c>
      <c r="C2251" t="s">
        <v>39</v>
      </c>
      <c r="D2251" s="4">
        <v>0</v>
      </c>
      <c r="E2251" t="s">
        <v>39</v>
      </c>
    </row>
    <row r="2252" spans="1:5" x14ac:dyDescent="0.25">
      <c r="A2252">
        <v>42</v>
      </c>
      <c r="B2252">
        <v>20</v>
      </c>
      <c r="C2252" t="s">
        <v>193</v>
      </c>
      <c r="D2252" s="5">
        <v>0</v>
      </c>
      <c r="E2252" t="s">
        <v>194</v>
      </c>
    </row>
    <row r="2253" spans="1:5" x14ac:dyDescent="0.25">
      <c r="A2253">
        <v>43</v>
      </c>
      <c r="B2253">
        <v>1</v>
      </c>
      <c r="C2253" t="s">
        <v>1599</v>
      </c>
      <c r="D2253" s="5">
        <v>0</v>
      </c>
      <c r="E2253" t="s">
        <v>1600</v>
      </c>
    </row>
    <row r="2254" spans="1:5" hidden="1" x14ac:dyDescent="0.25">
      <c r="A2254">
        <v>43</v>
      </c>
      <c r="B2254">
        <v>1</v>
      </c>
      <c r="C2254" t="s">
        <v>39</v>
      </c>
      <c r="D2254" s="4">
        <v>0</v>
      </c>
      <c r="E2254" t="s">
        <v>39</v>
      </c>
    </row>
    <row r="2255" spans="1:5" x14ac:dyDescent="0.25">
      <c r="A2255">
        <v>43</v>
      </c>
      <c r="B2255">
        <v>1</v>
      </c>
      <c r="C2255" t="s">
        <v>1601</v>
      </c>
      <c r="D2255" s="5">
        <v>0</v>
      </c>
      <c r="E2255" t="s">
        <v>1602</v>
      </c>
    </row>
    <row r="2256" spans="1:5" hidden="1" x14ac:dyDescent="0.25">
      <c r="A2256">
        <v>43</v>
      </c>
      <c r="B2256">
        <v>1</v>
      </c>
      <c r="C2256" t="s">
        <v>39</v>
      </c>
      <c r="D2256" s="4">
        <v>0</v>
      </c>
      <c r="E2256" t="s">
        <v>39</v>
      </c>
    </row>
    <row r="2257" spans="1:5" x14ac:dyDescent="0.25">
      <c r="A2257">
        <v>43</v>
      </c>
      <c r="B2257">
        <v>1</v>
      </c>
      <c r="C2257" t="s">
        <v>1603</v>
      </c>
      <c r="D2257" s="5">
        <v>0</v>
      </c>
      <c r="E2257" t="s">
        <v>1604</v>
      </c>
    </row>
    <row r="2258" spans="1:5" hidden="1" x14ac:dyDescent="0.25">
      <c r="A2258">
        <v>43</v>
      </c>
      <c r="B2258">
        <v>1</v>
      </c>
      <c r="C2258" t="s">
        <v>39</v>
      </c>
      <c r="D2258" s="4">
        <v>0</v>
      </c>
      <c r="E2258" t="s">
        <v>39</v>
      </c>
    </row>
    <row r="2259" spans="1:5" hidden="1" x14ac:dyDescent="0.25">
      <c r="A2259">
        <v>43</v>
      </c>
      <c r="B2259">
        <v>4</v>
      </c>
      <c r="C2259" t="s">
        <v>39</v>
      </c>
      <c r="D2259" s="4">
        <v>0</v>
      </c>
      <c r="E2259" t="s">
        <v>39</v>
      </c>
    </row>
    <row r="2260" spans="1:5" x14ac:dyDescent="0.25">
      <c r="A2260">
        <v>43</v>
      </c>
      <c r="B2260">
        <v>4</v>
      </c>
      <c r="C2260" t="s">
        <v>1605</v>
      </c>
      <c r="D2260" s="5">
        <v>0</v>
      </c>
      <c r="E2260" t="s">
        <v>1606</v>
      </c>
    </row>
    <row r="2261" spans="1:5" hidden="1" x14ac:dyDescent="0.25">
      <c r="A2261">
        <v>43</v>
      </c>
      <c r="B2261">
        <v>4</v>
      </c>
      <c r="C2261" t="s">
        <v>39</v>
      </c>
      <c r="D2261" s="4">
        <v>0</v>
      </c>
      <c r="E2261" t="s">
        <v>39</v>
      </c>
    </row>
    <row r="2262" spans="1:5" x14ac:dyDescent="0.25">
      <c r="A2262">
        <v>43</v>
      </c>
      <c r="B2262">
        <v>4</v>
      </c>
      <c r="C2262" t="s">
        <v>1607</v>
      </c>
      <c r="D2262" s="5">
        <v>0</v>
      </c>
      <c r="E2262" t="s">
        <v>2604</v>
      </c>
    </row>
    <row r="2263" spans="1:5" hidden="1" x14ac:dyDescent="0.25">
      <c r="A2263">
        <v>43</v>
      </c>
      <c r="B2263">
        <v>4</v>
      </c>
      <c r="C2263" t="s">
        <v>39</v>
      </c>
      <c r="D2263" s="4">
        <v>0</v>
      </c>
      <c r="E2263" t="s">
        <v>39</v>
      </c>
    </row>
    <row r="2264" spans="1:5" x14ac:dyDescent="0.25">
      <c r="A2264">
        <v>43</v>
      </c>
      <c r="B2264">
        <v>4</v>
      </c>
      <c r="C2264" t="s">
        <v>1608</v>
      </c>
      <c r="D2264" s="5">
        <v>0</v>
      </c>
      <c r="E2264" t="s">
        <v>2605</v>
      </c>
    </row>
    <row r="2265" spans="1:5" hidden="1" x14ac:dyDescent="0.25">
      <c r="A2265">
        <v>43</v>
      </c>
      <c r="B2265">
        <v>4</v>
      </c>
      <c r="C2265" t="s">
        <v>39</v>
      </c>
      <c r="D2265" s="4">
        <v>0</v>
      </c>
      <c r="E2265" t="s">
        <v>39</v>
      </c>
    </row>
    <row r="2266" spans="1:5" hidden="1" x14ac:dyDescent="0.25">
      <c r="A2266">
        <v>43</v>
      </c>
      <c r="B2266">
        <v>7</v>
      </c>
      <c r="C2266" t="s">
        <v>39</v>
      </c>
      <c r="D2266" s="4">
        <v>0</v>
      </c>
      <c r="E2266" t="s">
        <v>39</v>
      </c>
    </row>
    <row r="2267" spans="1:5" x14ac:dyDescent="0.25">
      <c r="A2267">
        <v>43</v>
      </c>
      <c r="B2267">
        <v>7</v>
      </c>
      <c r="C2267" t="s">
        <v>1609</v>
      </c>
      <c r="D2267" s="5">
        <v>0</v>
      </c>
      <c r="E2267" t="s">
        <v>1610</v>
      </c>
    </row>
    <row r="2268" spans="1:5" hidden="1" x14ac:dyDescent="0.25">
      <c r="A2268">
        <v>43</v>
      </c>
      <c r="B2268">
        <v>7</v>
      </c>
      <c r="C2268" t="s">
        <v>39</v>
      </c>
      <c r="D2268" s="4">
        <v>0</v>
      </c>
      <c r="E2268" t="s">
        <v>39</v>
      </c>
    </row>
    <row r="2269" spans="1:5" x14ac:dyDescent="0.25">
      <c r="A2269">
        <v>43</v>
      </c>
      <c r="B2269">
        <v>7</v>
      </c>
      <c r="C2269" t="s">
        <v>1611</v>
      </c>
      <c r="D2269" s="5">
        <v>0</v>
      </c>
      <c r="E2269" t="s">
        <v>1612</v>
      </c>
    </row>
    <row r="2270" spans="1:5" hidden="1" x14ac:dyDescent="0.25">
      <c r="A2270">
        <v>43</v>
      </c>
      <c r="B2270">
        <v>7</v>
      </c>
      <c r="C2270" t="s">
        <v>39</v>
      </c>
      <c r="D2270" s="4">
        <v>0</v>
      </c>
      <c r="E2270" t="s">
        <v>39</v>
      </c>
    </row>
    <row r="2271" spans="1:5" x14ac:dyDescent="0.25">
      <c r="A2271">
        <v>43</v>
      </c>
      <c r="B2271">
        <v>7</v>
      </c>
      <c r="C2271" t="s">
        <v>1613</v>
      </c>
      <c r="D2271" s="5">
        <v>0</v>
      </c>
      <c r="E2271" t="s">
        <v>1614</v>
      </c>
    </row>
    <row r="2272" spans="1:5" hidden="1" x14ac:dyDescent="0.25">
      <c r="A2272">
        <v>43</v>
      </c>
      <c r="B2272">
        <v>7</v>
      </c>
      <c r="C2272" t="s">
        <v>39</v>
      </c>
      <c r="D2272" s="4">
        <v>0</v>
      </c>
      <c r="E2272" t="s">
        <v>39</v>
      </c>
    </row>
    <row r="2273" spans="1:5" hidden="1" x14ac:dyDescent="0.25">
      <c r="A2273">
        <v>43</v>
      </c>
      <c r="B2273">
        <v>10</v>
      </c>
      <c r="C2273" t="s">
        <v>39</v>
      </c>
      <c r="D2273" s="4">
        <v>0</v>
      </c>
      <c r="E2273" t="s">
        <v>39</v>
      </c>
    </row>
    <row r="2274" spans="1:5" x14ac:dyDescent="0.25">
      <c r="A2274">
        <v>43</v>
      </c>
      <c r="B2274">
        <v>10</v>
      </c>
      <c r="C2274" t="s">
        <v>1615</v>
      </c>
      <c r="D2274" s="5">
        <v>0</v>
      </c>
      <c r="E2274" t="s">
        <v>1616</v>
      </c>
    </row>
    <row r="2275" spans="1:5" hidden="1" x14ac:dyDescent="0.25">
      <c r="A2275">
        <v>43</v>
      </c>
      <c r="B2275">
        <v>10</v>
      </c>
      <c r="C2275" t="s">
        <v>39</v>
      </c>
      <c r="D2275" s="4">
        <v>0</v>
      </c>
      <c r="E2275" t="s">
        <v>39</v>
      </c>
    </row>
    <row r="2276" spans="1:5" x14ac:dyDescent="0.25">
      <c r="A2276">
        <v>43</v>
      </c>
      <c r="B2276">
        <v>10</v>
      </c>
      <c r="C2276" t="s">
        <v>1617</v>
      </c>
      <c r="D2276" s="5">
        <v>0</v>
      </c>
      <c r="E2276" t="s">
        <v>2606</v>
      </c>
    </row>
    <row r="2277" spans="1:5" hidden="1" x14ac:dyDescent="0.25">
      <c r="A2277">
        <v>43</v>
      </c>
      <c r="B2277">
        <v>10</v>
      </c>
      <c r="C2277" t="s">
        <v>39</v>
      </c>
      <c r="D2277" s="4">
        <v>0</v>
      </c>
      <c r="E2277" t="s">
        <v>39</v>
      </c>
    </row>
    <row r="2278" spans="1:5" hidden="1" x14ac:dyDescent="0.25">
      <c r="A2278">
        <v>43</v>
      </c>
      <c r="B2278">
        <v>13</v>
      </c>
      <c r="C2278" t="s">
        <v>39</v>
      </c>
      <c r="D2278" s="4">
        <v>0</v>
      </c>
      <c r="E2278" t="s">
        <v>39</v>
      </c>
    </row>
    <row r="2279" spans="1:5" x14ac:dyDescent="0.25">
      <c r="A2279">
        <v>43</v>
      </c>
      <c r="B2279">
        <v>13</v>
      </c>
      <c r="C2279" t="s">
        <v>1618</v>
      </c>
      <c r="D2279" s="5">
        <v>0</v>
      </c>
      <c r="E2279" t="s">
        <v>1619</v>
      </c>
    </row>
    <row r="2280" spans="1:5" hidden="1" x14ac:dyDescent="0.25">
      <c r="A2280">
        <v>43</v>
      </c>
      <c r="B2280">
        <v>13</v>
      </c>
      <c r="C2280" t="s">
        <v>39</v>
      </c>
      <c r="D2280" s="4">
        <v>0</v>
      </c>
      <c r="E2280" t="s">
        <v>39</v>
      </c>
    </row>
    <row r="2281" spans="1:5" x14ac:dyDescent="0.25">
      <c r="A2281">
        <v>43</v>
      </c>
      <c r="B2281">
        <v>13</v>
      </c>
      <c r="C2281" t="s">
        <v>1620</v>
      </c>
      <c r="D2281" s="5">
        <v>0</v>
      </c>
      <c r="E2281" t="s">
        <v>1621</v>
      </c>
    </row>
    <row r="2282" spans="1:5" hidden="1" x14ac:dyDescent="0.25">
      <c r="A2282">
        <v>43</v>
      </c>
      <c r="B2282">
        <v>13</v>
      </c>
      <c r="C2282" t="s">
        <v>39</v>
      </c>
      <c r="D2282" s="4">
        <v>0</v>
      </c>
      <c r="E2282" t="s">
        <v>39</v>
      </c>
    </row>
    <row r="2283" spans="1:5" x14ac:dyDescent="0.25">
      <c r="A2283">
        <v>43</v>
      </c>
      <c r="B2283">
        <v>13</v>
      </c>
      <c r="C2283" t="s">
        <v>1622</v>
      </c>
      <c r="D2283" s="5">
        <v>0</v>
      </c>
      <c r="E2283" t="s">
        <v>1623</v>
      </c>
    </row>
    <row r="2284" spans="1:5" hidden="1" x14ac:dyDescent="0.25">
      <c r="A2284">
        <v>43</v>
      </c>
      <c r="B2284">
        <v>13</v>
      </c>
      <c r="C2284" t="s">
        <v>39</v>
      </c>
      <c r="D2284" s="4">
        <v>0</v>
      </c>
      <c r="E2284" t="s">
        <v>39</v>
      </c>
    </row>
    <row r="2285" spans="1:5" x14ac:dyDescent="0.25">
      <c r="A2285">
        <v>43</v>
      </c>
      <c r="B2285">
        <v>13</v>
      </c>
      <c r="C2285" t="s">
        <v>812</v>
      </c>
      <c r="D2285" s="5">
        <v>0</v>
      </c>
      <c r="E2285" t="s">
        <v>813</v>
      </c>
    </row>
    <row r="2286" spans="1:5" hidden="1" x14ac:dyDescent="0.25">
      <c r="A2286">
        <v>43</v>
      </c>
      <c r="B2286">
        <v>13</v>
      </c>
      <c r="C2286" t="s">
        <v>39</v>
      </c>
      <c r="D2286" s="4">
        <v>0</v>
      </c>
      <c r="E2286" t="s">
        <v>39</v>
      </c>
    </row>
    <row r="2287" spans="1:5" hidden="1" x14ac:dyDescent="0.25">
      <c r="A2287">
        <v>43</v>
      </c>
      <c r="B2287">
        <v>16</v>
      </c>
      <c r="C2287" t="s">
        <v>39</v>
      </c>
      <c r="D2287" s="4">
        <v>0</v>
      </c>
      <c r="E2287" t="s">
        <v>39</v>
      </c>
    </row>
    <row r="2288" spans="1:5" x14ac:dyDescent="0.25">
      <c r="A2288">
        <v>43</v>
      </c>
      <c r="B2288">
        <v>16</v>
      </c>
      <c r="C2288" t="s">
        <v>1624</v>
      </c>
      <c r="D2288" s="5">
        <v>0</v>
      </c>
      <c r="E2288" t="s">
        <v>1625</v>
      </c>
    </row>
    <row r="2289" spans="1:5" hidden="1" x14ac:dyDescent="0.25">
      <c r="A2289">
        <v>43</v>
      </c>
      <c r="B2289">
        <v>16</v>
      </c>
      <c r="C2289" t="s">
        <v>39</v>
      </c>
      <c r="D2289" s="4">
        <v>0</v>
      </c>
      <c r="E2289" t="s">
        <v>39</v>
      </c>
    </row>
    <row r="2290" spans="1:5" x14ac:dyDescent="0.25">
      <c r="A2290">
        <v>43</v>
      </c>
      <c r="B2290">
        <v>16</v>
      </c>
      <c r="C2290" t="s">
        <v>1626</v>
      </c>
      <c r="D2290" s="5">
        <v>0</v>
      </c>
      <c r="E2290" t="s">
        <v>1627</v>
      </c>
    </row>
    <row r="2291" spans="1:5" hidden="1" x14ac:dyDescent="0.25">
      <c r="A2291">
        <v>43</v>
      </c>
      <c r="B2291">
        <v>16</v>
      </c>
      <c r="C2291" t="s">
        <v>39</v>
      </c>
      <c r="D2291" s="4">
        <v>0</v>
      </c>
      <c r="E2291" t="s">
        <v>39</v>
      </c>
    </row>
    <row r="2292" spans="1:5" x14ac:dyDescent="0.25">
      <c r="A2292">
        <v>43</v>
      </c>
      <c r="B2292">
        <v>16</v>
      </c>
      <c r="C2292" t="s">
        <v>1628</v>
      </c>
      <c r="D2292" s="5">
        <v>0</v>
      </c>
      <c r="E2292" t="s">
        <v>1629</v>
      </c>
    </row>
    <row r="2293" spans="1:5" hidden="1" x14ac:dyDescent="0.25">
      <c r="A2293">
        <v>43</v>
      </c>
      <c r="B2293">
        <v>16</v>
      </c>
      <c r="C2293" t="s">
        <v>39</v>
      </c>
      <c r="D2293" s="4">
        <v>0</v>
      </c>
      <c r="E2293" t="s">
        <v>39</v>
      </c>
    </row>
    <row r="2294" spans="1:5" x14ac:dyDescent="0.25">
      <c r="A2294">
        <v>43</v>
      </c>
      <c r="B2294">
        <v>16</v>
      </c>
      <c r="C2294" t="s">
        <v>1630</v>
      </c>
      <c r="D2294" s="5">
        <v>0</v>
      </c>
      <c r="E2294" t="s">
        <v>1631</v>
      </c>
    </row>
    <row r="2295" spans="1:5" hidden="1" x14ac:dyDescent="0.25">
      <c r="A2295">
        <v>43</v>
      </c>
      <c r="B2295">
        <v>16</v>
      </c>
      <c r="C2295" t="s">
        <v>39</v>
      </c>
      <c r="D2295" s="4">
        <v>0</v>
      </c>
      <c r="E2295" t="s">
        <v>39</v>
      </c>
    </row>
    <row r="2296" spans="1:5" hidden="1" x14ac:dyDescent="0.25">
      <c r="A2296">
        <v>43</v>
      </c>
      <c r="B2296">
        <v>20</v>
      </c>
      <c r="C2296" t="s">
        <v>39</v>
      </c>
      <c r="D2296" s="4">
        <v>0</v>
      </c>
      <c r="E2296" t="s">
        <v>39</v>
      </c>
    </row>
    <row r="2297" spans="1:5" x14ac:dyDescent="0.25">
      <c r="A2297">
        <v>43</v>
      </c>
      <c r="B2297">
        <v>20</v>
      </c>
      <c r="C2297" t="s">
        <v>1632</v>
      </c>
      <c r="D2297" s="5">
        <v>0</v>
      </c>
      <c r="E2297" t="s">
        <v>2607</v>
      </c>
    </row>
    <row r="2298" spans="1:5" hidden="1" x14ac:dyDescent="0.25">
      <c r="A2298">
        <v>43</v>
      </c>
      <c r="B2298">
        <v>20</v>
      </c>
      <c r="C2298" t="s">
        <v>39</v>
      </c>
      <c r="D2298" s="4">
        <v>0</v>
      </c>
      <c r="E2298" t="s">
        <v>39</v>
      </c>
    </row>
    <row r="2299" spans="1:5" x14ac:dyDescent="0.25">
      <c r="A2299">
        <v>43</v>
      </c>
      <c r="B2299">
        <v>20</v>
      </c>
      <c r="C2299" t="s">
        <v>2608</v>
      </c>
      <c r="D2299" s="5">
        <v>0</v>
      </c>
      <c r="E2299" t="s">
        <v>1633</v>
      </c>
    </row>
    <row r="2300" spans="1:5" hidden="1" x14ac:dyDescent="0.25">
      <c r="A2300">
        <v>43</v>
      </c>
      <c r="B2300">
        <v>20</v>
      </c>
      <c r="C2300" t="s">
        <v>39</v>
      </c>
      <c r="D2300" s="4">
        <v>0</v>
      </c>
      <c r="E2300" t="s">
        <v>39</v>
      </c>
    </row>
    <row r="2301" spans="1:5" x14ac:dyDescent="0.25">
      <c r="A2301">
        <v>43</v>
      </c>
      <c r="B2301">
        <v>20</v>
      </c>
      <c r="C2301" t="s">
        <v>1095</v>
      </c>
      <c r="D2301" s="5">
        <v>0</v>
      </c>
      <c r="E2301" t="s">
        <v>1526</v>
      </c>
    </row>
    <row r="2302" spans="1:5" hidden="1" x14ac:dyDescent="0.25">
      <c r="A2302">
        <v>43</v>
      </c>
      <c r="B2302">
        <v>20</v>
      </c>
      <c r="C2302" t="s">
        <v>39</v>
      </c>
      <c r="D2302" s="4">
        <v>0</v>
      </c>
      <c r="E2302" t="s">
        <v>39</v>
      </c>
    </row>
    <row r="2303" spans="1:5" x14ac:dyDescent="0.25">
      <c r="A2303">
        <v>43</v>
      </c>
      <c r="B2303">
        <v>20</v>
      </c>
      <c r="C2303" t="s">
        <v>193</v>
      </c>
      <c r="D2303" s="5">
        <v>0</v>
      </c>
      <c r="E2303" t="s">
        <v>194</v>
      </c>
    </row>
    <row r="2304" spans="1:5" x14ac:dyDescent="0.25">
      <c r="A2304">
        <v>44</v>
      </c>
      <c r="B2304">
        <v>1</v>
      </c>
      <c r="C2304" t="s">
        <v>1634</v>
      </c>
      <c r="D2304" s="5">
        <v>0</v>
      </c>
      <c r="E2304" t="s">
        <v>1664</v>
      </c>
    </row>
    <row r="2305" spans="1:5" hidden="1" x14ac:dyDescent="0.25">
      <c r="A2305">
        <v>44</v>
      </c>
      <c r="B2305">
        <v>1</v>
      </c>
      <c r="C2305" t="s">
        <v>39</v>
      </c>
      <c r="D2305" s="4">
        <v>0</v>
      </c>
      <c r="E2305" t="s">
        <v>39</v>
      </c>
    </row>
    <row r="2306" spans="1:5" x14ac:dyDescent="0.25">
      <c r="A2306">
        <v>44</v>
      </c>
      <c r="B2306">
        <v>1</v>
      </c>
      <c r="C2306" t="s">
        <v>1635</v>
      </c>
      <c r="D2306" s="5">
        <v>0</v>
      </c>
      <c r="E2306" t="s">
        <v>2609</v>
      </c>
    </row>
    <row r="2307" spans="1:5" hidden="1" x14ac:dyDescent="0.25">
      <c r="A2307">
        <v>44</v>
      </c>
      <c r="B2307">
        <v>1</v>
      </c>
      <c r="C2307" t="s">
        <v>39</v>
      </c>
      <c r="D2307" s="4">
        <v>0</v>
      </c>
      <c r="E2307" t="s">
        <v>39</v>
      </c>
    </row>
    <row r="2308" spans="1:5" x14ac:dyDescent="0.25">
      <c r="A2308">
        <v>44</v>
      </c>
      <c r="B2308">
        <v>1</v>
      </c>
      <c r="C2308" t="s">
        <v>1636</v>
      </c>
      <c r="D2308" s="5">
        <v>0</v>
      </c>
      <c r="E2308" t="s">
        <v>1665</v>
      </c>
    </row>
    <row r="2309" spans="1:5" hidden="1" x14ac:dyDescent="0.25">
      <c r="A2309">
        <v>44</v>
      </c>
      <c r="B2309">
        <v>1</v>
      </c>
      <c r="C2309" t="s">
        <v>39</v>
      </c>
      <c r="D2309" s="4">
        <v>0</v>
      </c>
      <c r="E2309" t="s">
        <v>39</v>
      </c>
    </row>
    <row r="2310" spans="1:5" hidden="1" x14ac:dyDescent="0.25">
      <c r="A2310">
        <v>44</v>
      </c>
      <c r="B2310">
        <v>4</v>
      </c>
      <c r="C2310" t="s">
        <v>39</v>
      </c>
      <c r="D2310" s="4">
        <v>0</v>
      </c>
      <c r="E2310" t="s">
        <v>39</v>
      </c>
    </row>
    <row r="2311" spans="1:5" x14ac:dyDescent="0.25">
      <c r="A2311">
        <v>44</v>
      </c>
      <c r="B2311">
        <v>4</v>
      </c>
      <c r="C2311" t="s">
        <v>2610</v>
      </c>
      <c r="D2311" s="5">
        <v>0</v>
      </c>
      <c r="E2311" t="s">
        <v>1637</v>
      </c>
    </row>
    <row r="2312" spans="1:5" hidden="1" x14ac:dyDescent="0.25">
      <c r="A2312">
        <v>44</v>
      </c>
      <c r="B2312">
        <v>4</v>
      </c>
      <c r="C2312" t="s">
        <v>39</v>
      </c>
      <c r="D2312" s="4">
        <v>0</v>
      </c>
      <c r="E2312" t="s">
        <v>39</v>
      </c>
    </row>
    <row r="2313" spans="1:5" x14ac:dyDescent="0.25">
      <c r="A2313">
        <v>44</v>
      </c>
      <c r="B2313">
        <v>4</v>
      </c>
      <c r="C2313" t="s">
        <v>2611</v>
      </c>
      <c r="D2313" s="5">
        <v>0</v>
      </c>
      <c r="E2313" t="s">
        <v>1638</v>
      </c>
    </row>
    <row r="2314" spans="1:5" hidden="1" x14ac:dyDescent="0.25">
      <c r="A2314">
        <v>44</v>
      </c>
      <c r="B2314">
        <v>4</v>
      </c>
      <c r="C2314" t="s">
        <v>39</v>
      </c>
      <c r="D2314" s="4">
        <v>0</v>
      </c>
      <c r="E2314" t="s">
        <v>39</v>
      </c>
    </row>
    <row r="2315" spans="1:5" x14ac:dyDescent="0.25">
      <c r="A2315">
        <v>44</v>
      </c>
      <c r="B2315">
        <v>4</v>
      </c>
      <c r="C2315" t="s">
        <v>2612</v>
      </c>
      <c r="D2315" s="5">
        <v>0</v>
      </c>
      <c r="E2315" t="s">
        <v>1639</v>
      </c>
    </row>
    <row r="2316" spans="1:5" hidden="1" x14ac:dyDescent="0.25">
      <c r="A2316">
        <v>44</v>
      </c>
      <c r="B2316">
        <v>4</v>
      </c>
      <c r="C2316" t="s">
        <v>39</v>
      </c>
      <c r="D2316" s="4">
        <v>0</v>
      </c>
      <c r="E2316" t="s">
        <v>39</v>
      </c>
    </row>
    <row r="2317" spans="1:5" hidden="1" x14ac:dyDescent="0.25">
      <c r="A2317">
        <v>44</v>
      </c>
      <c r="B2317">
        <v>7</v>
      </c>
      <c r="C2317" t="s">
        <v>39</v>
      </c>
      <c r="D2317" s="4">
        <v>0</v>
      </c>
      <c r="E2317" t="s">
        <v>39</v>
      </c>
    </row>
    <row r="2318" spans="1:5" x14ac:dyDescent="0.25">
      <c r="A2318">
        <v>44</v>
      </c>
      <c r="B2318">
        <v>7</v>
      </c>
      <c r="C2318" t="s">
        <v>1640</v>
      </c>
      <c r="D2318" s="5">
        <v>0</v>
      </c>
      <c r="E2318" t="s">
        <v>1641</v>
      </c>
    </row>
    <row r="2319" spans="1:5" hidden="1" x14ac:dyDescent="0.25">
      <c r="A2319">
        <v>44</v>
      </c>
      <c r="B2319">
        <v>7</v>
      </c>
      <c r="C2319" t="s">
        <v>39</v>
      </c>
      <c r="D2319" s="4">
        <v>0</v>
      </c>
      <c r="E2319" t="s">
        <v>39</v>
      </c>
    </row>
    <row r="2320" spans="1:5" x14ac:dyDescent="0.25">
      <c r="A2320">
        <v>44</v>
      </c>
      <c r="B2320">
        <v>7</v>
      </c>
      <c r="C2320" t="s">
        <v>1642</v>
      </c>
      <c r="D2320" s="5">
        <v>0</v>
      </c>
      <c r="E2320" t="s">
        <v>1643</v>
      </c>
    </row>
    <row r="2321" spans="1:5" hidden="1" x14ac:dyDescent="0.25">
      <c r="A2321">
        <v>44</v>
      </c>
      <c r="B2321">
        <v>7</v>
      </c>
      <c r="C2321" t="s">
        <v>39</v>
      </c>
      <c r="D2321" s="4">
        <v>0</v>
      </c>
      <c r="E2321" t="s">
        <v>39</v>
      </c>
    </row>
    <row r="2322" spans="1:5" x14ac:dyDescent="0.25">
      <c r="A2322">
        <v>44</v>
      </c>
      <c r="B2322">
        <v>7</v>
      </c>
      <c r="C2322" t="s">
        <v>1644</v>
      </c>
      <c r="D2322" s="5">
        <v>0</v>
      </c>
      <c r="E2322" t="s">
        <v>1666</v>
      </c>
    </row>
    <row r="2323" spans="1:5" hidden="1" x14ac:dyDescent="0.25">
      <c r="A2323">
        <v>44</v>
      </c>
      <c r="B2323">
        <v>7</v>
      </c>
      <c r="C2323" t="s">
        <v>39</v>
      </c>
      <c r="D2323" s="4">
        <v>0</v>
      </c>
      <c r="E2323" t="s">
        <v>39</v>
      </c>
    </row>
    <row r="2324" spans="1:5" hidden="1" x14ac:dyDescent="0.25">
      <c r="A2324">
        <v>44</v>
      </c>
      <c r="B2324">
        <v>10</v>
      </c>
      <c r="C2324" t="s">
        <v>39</v>
      </c>
      <c r="D2324" s="4">
        <v>0</v>
      </c>
      <c r="E2324" t="s">
        <v>39</v>
      </c>
    </row>
    <row r="2325" spans="1:5" x14ac:dyDescent="0.25">
      <c r="A2325">
        <v>44</v>
      </c>
      <c r="B2325">
        <v>10</v>
      </c>
      <c r="C2325" t="s">
        <v>1645</v>
      </c>
      <c r="D2325" s="5">
        <v>100</v>
      </c>
      <c r="E2325" t="s">
        <v>1646</v>
      </c>
    </row>
    <row r="2326" spans="1:5" hidden="1" x14ac:dyDescent="0.25">
      <c r="A2326">
        <v>44</v>
      </c>
      <c r="B2326">
        <v>10</v>
      </c>
      <c r="C2326" t="s">
        <v>39</v>
      </c>
      <c r="D2326" s="4">
        <v>0</v>
      </c>
      <c r="E2326" t="s">
        <v>39</v>
      </c>
    </row>
    <row r="2327" spans="1:5" hidden="1" x14ac:dyDescent="0.25">
      <c r="A2327">
        <v>44</v>
      </c>
      <c r="B2327">
        <v>10</v>
      </c>
      <c r="C2327" t="s">
        <v>39</v>
      </c>
      <c r="D2327" s="4">
        <v>0</v>
      </c>
      <c r="E2327" t="s">
        <v>39</v>
      </c>
    </row>
    <row r="2328" spans="1:5" hidden="1" x14ac:dyDescent="0.25">
      <c r="A2328">
        <v>44</v>
      </c>
      <c r="B2328">
        <v>10</v>
      </c>
      <c r="C2328" t="s">
        <v>39</v>
      </c>
      <c r="D2328" s="4">
        <v>0</v>
      </c>
      <c r="E2328" t="s">
        <v>39</v>
      </c>
    </row>
    <row r="2329" spans="1:5" x14ac:dyDescent="0.25">
      <c r="A2329">
        <v>44</v>
      </c>
      <c r="B2329">
        <v>10</v>
      </c>
      <c r="C2329" t="s">
        <v>1647</v>
      </c>
      <c r="D2329" s="5">
        <v>12</v>
      </c>
      <c r="E2329" t="s">
        <v>1648</v>
      </c>
    </row>
    <row r="2330" spans="1:5" hidden="1" x14ac:dyDescent="0.25">
      <c r="A2330">
        <v>44</v>
      </c>
      <c r="B2330">
        <v>10</v>
      </c>
      <c r="C2330" t="s">
        <v>39</v>
      </c>
      <c r="D2330" s="4">
        <v>0</v>
      </c>
      <c r="E2330" t="s">
        <v>39</v>
      </c>
    </row>
    <row r="2331" spans="1:5" hidden="1" x14ac:dyDescent="0.25">
      <c r="A2331">
        <v>44</v>
      </c>
      <c r="B2331">
        <v>10</v>
      </c>
      <c r="C2331" t="s">
        <v>39</v>
      </c>
      <c r="D2331" s="4">
        <v>0</v>
      </c>
      <c r="E2331" t="s">
        <v>39</v>
      </c>
    </row>
    <row r="2332" spans="1:5" hidden="1" x14ac:dyDescent="0.25">
      <c r="A2332">
        <v>44</v>
      </c>
      <c r="B2332">
        <v>10</v>
      </c>
      <c r="C2332" t="s">
        <v>39</v>
      </c>
      <c r="D2332" s="4">
        <v>0</v>
      </c>
      <c r="E2332" t="s">
        <v>39</v>
      </c>
    </row>
    <row r="2333" spans="1:5" hidden="1" x14ac:dyDescent="0.25">
      <c r="A2333">
        <v>44</v>
      </c>
      <c r="B2333">
        <v>13</v>
      </c>
      <c r="C2333" t="s">
        <v>39</v>
      </c>
      <c r="D2333" s="4">
        <v>0</v>
      </c>
      <c r="E2333" t="s">
        <v>39</v>
      </c>
    </row>
    <row r="2334" spans="1:5" x14ac:dyDescent="0.25">
      <c r="A2334">
        <v>44</v>
      </c>
      <c r="B2334">
        <v>13</v>
      </c>
      <c r="C2334" t="s">
        <v>1649</v>
      </c>
      <c r="D2334" s="5">
        <v>0</v>
      </c>
      <c r="E2334" t="s">
        <v>1650</v>
      </c>
    </row>
    <row r="2335" spans="1:5" hidden="1" x14ac:dyDescent="0.25">
      <c r="A2335">
        <v>44</v>
      </c>
      <c r="B2335">
        <v>13</v>
      </c>
      <c r="C2335" t="s">
        <v>39</v>
      </c>
      <c r="D2335" s="4">
        <v>0</v>
      </c>
      <c r="E2335" t="s">
        <v>39</v>
      </c>
    </row>
    <row r="2336" spans="1:5" x14ac:dyDescent="0.25">
      <c r="A2336">
        <v>44</v>
      </c>
      <c r="B2336">
        <v>13</v>
      </c>
      <c r="C2336" t="s">
        <v>2613</v>
      </c>
      <c r="D2336" s="5">
        <v>0</v>
      </c>
      <c r="E2336" t="s">
        <v>1651</v>
      </c>
    </row>
    <row r="2337" spans="1:5" hidden="1" x14ac:dyDescent="0.25">
      <c r="A2337">
        <v>44</v>
      </c>
      <c r="B2337">
        <v>13</v>
      </c>
      <c r="C2337" t="s">
        <v>39</v>
      </c>
      <c r="D2337" s="4">
        <v>0</v>
      </c>
      <c r="E2337" t="s">
        <v>39</v>
      </c>
    </row>
    <row r="2338" spans="1:5" x14ac:dyDescent="0.25">
      <c r="A2338">
        <v>44</v>
      </c>
      <c r="B2338">
        <v>13</v>
      </c>
      <c r="C2338" t="s">
        <v>1652</v>
      </c>
      <c r="D2338" s="5">
        <v>60</v>
      </c>
      <c r="E2338" t="s">
        <v>1653</v>
      </c>
    </row>
    <row r="2339" spans="1:5" hidden="1" x14ac:dyDescent="0.25">
      <c r="A2339">
        <v>44</v>
      </c>
      <c r="B2339">
        <v>13</v>
      </c>
      <c r="C2339" t="s">
        <v>39</v>
      </c>
      <c r="D2339" s="4">
        <v>0</v>
      </c>
      <c r="E2339" t="s">
        <v>39</v>
      </c>
    </row>
    <row r="2340" spans="1:5" hidden="1" x14ac:dyDescent="0.25">
      <c r="A2340">
        <v>44</v>
      </c>
      <c r="B2340">
        <v>13</v>
      </c>
      <c r="C2340" t="s">
        <v>39</v>
      </c>
      <c r="D2340" s="4">
        <v>0</v>
      </c>
      <c r="E2340" t="s">
        <v>39</v>
      </c>
    </row>
    <row r="2341" spans="1:5" hidden="1" x14ac:dyDescent="0.25">
      <c r="A2341">
        <v>44</v>
      </c>
      <c r="B2341">
        <v>16</v>
      </c>
      <c r="C2341" t="s">
        <v>39</v>
      </c>
      <c r="D2341" s="4">
        <v>0</v>
      </c>
      <c r="E2341" t="s">
        <v>39</v>
      </c>
    </row>
    <row r="2342" spans="1:5" x14ac:dyDescent="0.25">
      <c r="A2342">
        <v>44</v>
      </c>
      <c r="B2342">
        <v>16</v>
      </c>
      <c r="C2342" t="s">
        <v>1654</v>
      </c>
      <c r="D2342" s="5">
        <v>0</v>
      </c>
      <c r="E2342" t="s">
        <v>1655</v>
      </c>
    </row>
    <row r="2343" spans="1:5" hidden="1" x14ac:dyDescent="0.25">
      <c r="A2343">
        <v>44</v>
      </c>
      <c r="B2343">
        <v>16</v>
      </c>
      <c r="C2343" t="s">
        <v>39</v>
      </c>
      <c r="D2343" s="4">
        <v>0</v>
      </c>
      <c r="E2343" t="s">
        <v>39</v>
      </c>
    </row>
    <row r="2344" spans="1:5" x14ac:dyDescent="0.25">
      <c r="A2344">
        <v>44</v>
      </c>
      <c r="B2344">
        <v>16</v>
      </c>
      <c r="C2344" t="s">
        <v>1656</v>
      </c>
      <c r="D2344" s="5">
        <v>0</v>
      </c>
      <c r="E2344" t="s">
        <v>1655</v>
      </c>
    </row>
    <row r="2345" spans="1:5" hidden="1" x14ac:dyDescent="0.25">
      <c r="A2345">
        <v>44</v>
      </c>
      <c r="B2345">
        <v>16</v>
      </c>
      <c r="C2345" t="s">
        <v>39</v>
      </c>
      <c r="D2345" s="4">
        <v>0</v>
      </c>
      <c r="E2345" t="s">
        <v>39</v>
      </c>
    </row>
    <row r="2346" spans="1:5" x14ac:dyDescent="0.25">
      <c r="A2346">
        <v>44</v>
      </c>
      <c r="B2346">
        <v>16</v>
      </c>
      <c r="C2346" t="s">
        <v>1657</v>
      </c>
      <c r="D2346" s="5">
        <v>0</v>
      </c>
      <c r="E2346" t="s">
        <v>2614</v>
      </c>
    </row>
    <row r="2347" spans="1:5" hidden="1" x14ac:dyDescent="0.25">
      <c r="A2347">
        <v>44</v>
      </c>
      <c r="B2347">
        <v>16</v>
      </c>
      <c r="C2347" t="s">
        <v>39</v>
      </c>
      <c r="D2347" s="4">
        <v>0</v>
      </c>
      <c r="E2347" t="s">
        <v>39</v>
      </c>
    </row>
    <row r="2348" spans="1:5" hidden="1" x14ac:dyDescent="0.25">
      <c r="A2348">
        <v>44</v>
      </c>
      <c r="B2348">
        <v>20</v>
      </c>
      <c r="C2348" t="s">
        <v>39</v>
      </c>
      <c r="D2348" s="4">
        <v>0</v>
      </c>
      <c r="E2348" t="s">
        <v>39</v>
      </c>
    </row>
    <row r="2349" spans="1:5" x14ac:dyDescent="0.25">
      <c r="A2349">
        <v>44</v>
      </c>
      <c r="B2349">
        <v>20</v>
      </c>
      <c r="C2349" t="s">
        <v>1658</v>
      </c>
      <c r="D2349" s="5">
        <v>0</v>
      </c>
      <c r="E2349" t="s">
        <v>1659</v>
      </c>
    </row>
    <row r="2350" spans="1:5" hidden="1" x14ac:dyDescent="0.25">
      <c r="A2350">
        <v>44</v>
      </c>
      <c r="B2350">
        <v>20</v>
      </c>
      <c r="C2350" t="s">
        <v>39</v>
      </c>
      <c r="D2350" s="4">
        <v>0</v>
      </c>
      <c r="E2350" t="s">
        <v>39</v>
      </c>
    </row>
    <row r="2351" spans="1:5" x14ac:dyDescent="0.25">
      <c r="A2351">
        <v>44</v>
      </c>
      <c r="B2351">
        <v>20</v>
      </c>
      <c r="C2351" t="s">
        <v>1660</v>
      </c>
      <c r="D2351" s="5">
        <v>0</v>
      </c>
      <c r="E2351" t="s">
        <v>2615</v>
      </c>
    </row>
    <row r="2352" spans="1:5" hidden="1" x14ac:dyDescent="0.25">
      <c r="A2352">
        <v>44</v>
      </c>
      <c r="B2352">
        <v>20</v>
      </c>
      <c r="C2352" t="s">
        <v>39</v>
      </c>
      <c r="D2352" s="4">
        <v>0</v>
      </c>
      <c r="E2352" t="s">
        <v>39</v>
      </c>
    </row>
    <row r="2353" spans="1:5" x14ac:dyDescent="0.25">
      <c r="A2353">
        <v>44</v>
      </c>
      <c r="B2353">
        <v>20</v>
      </c>
      <c r="C2353" t="s">
        <v>1661</v>
      </c>
      <c r="D2353" s="5">
        <v>0</v>
      </c>
      <c r="E2353" t="s">
        <v>1662</v>
      </c>
    </row>
    <row r="2354" spans="1:5" hidden="1" x14ac:dyDescent="0.25">
      <c r="A2354">
        <v>44</v>
      </c>
      <c r="B2354">
        <v>20</v>
      </c>
      <c r="C2354" t="s">
        <v>39</v>
      </c>
      <c r="D2354" s="4">
        <v>0</v>
      </c>
      <c r="E2354" t="s">
        <v>39</v>
      </c>
    </row>
    <row r="2355" spans="1:5" x14ac:dyDescent="0.25">
      <c r="A2355">
        <v>44</v>
      </c>
      <c r="B2355">
        <v>20</v>
      </c>
      <c r="C2355" t="s">
        <v>90</v>
      </c>
      <c r="D2355" s="5">
        <v>70</v>
      </c>
      <c r="E2355" t="s">
        <v>1663</v>
      </c>
    </row>
    <row r="2356" spans="1:5" x14ac:dyDescent="0.25">
      <c r="A2356">
        <v>45</v>
      </c>
      <c r="B2356">
        <v>1</v>
      </c>
      <c r="C2356" t="s">
        <v>122</v>
      </c>
      <c r="D2356" s="5">
        <v>0</v>
      </c>
      <c r="E2356" t="s">
        <v>123</v>
      </c>
    </row>
    <row r="2357" spans="1:5" hidden="1" x14ac:dyDescent="0.25">
      <c r="A2357">
        <v>45</v>
      </c>
      <c r="B2357">
        <v>1</v>
      </c>
      <c r="C2357" t="s">
        <v>39</v>
      </c>
      <c r="D2357" s="4">
        <v>0</v>
      </c>
      <c r="E2357" t="s">
        <v>39</v>
      </c>
    </row>
    <row r="2358" spans="1:5" x14ac:dyDescent="0.25">
      <c r="A2358">
        <v>45</v>
      </c>
      <c r="B2358">
        <v>1</v>
      </c>
      <c r="C2358" t="s">
        <v>1668</v>
      </c>
      <c r="D2358" s="5">
        <v>0</v>
      </c>
      <c r="E2358" t="s">
        <v>2616</v>
      </c>
    </row>
    <row r="2359" spans="1:5" hidden="1" x14ac:dyDescent="0.25">
      <c r="A2359">
        <v>45</v>
      </c>
      <c r="B2359">
        <v>1</v>
      </c>
      <c r="C2359" t="s">
        <v>39</v>
      </c>
      <c r="D2359" s="4">
        <v>0</v>
      </c>
      <c r="E2359" t="s">
        <v>39</v>
      </c>
    </row>
    <row r="2360" spans="1:5" x14ac:dyDescent="0.25">
      <c r="A2360">
        <v>45</v>
      </c>
      <c r="B2360">
        <v>1</v>
      </c>
      <c r="C2360" t="s">
        <v>1669</v>
      </c>
      <c r="D2360" s="5">
        <v>0</v>
      </c>
      <c r="E2360" t="s">
        <v>1670</v>
      </c>
    </row>
    <row r="2361" spans="1:5" hidden="1" x14ac:dyDescent="0.25">
      <c r="A2361">
        <v>45</v>
      </c>
      <c r="B2361">
        <v>1</v>
      </c>
      <c r="C2361" t="s">
        <v>39</v>
      </c>
      <c r="D2361" s="4">
        <v>0</v>
      </c>
      <c r="E2361" t="s">
        <v>39</v>
      </c>
    </row>
    <row r="2362" spans="1:5" x14ac:dyDescent="0.25">
      <c r="A2362">
        <v>45</v>
      </c>
      <c r="B2362">
        <v>1</v>
      </c>
      <c r="C2362" t="s">
        <v>86</v>
      </c>
      <c r="D2362" s="5">
        <v>0</v>
      </c>
      <c r="E2362" t="s">
        <v>1420</v>
      </c>
    </row>
    <row r="2363" spans="1:5" hidden="1" x14ac:dyDescent="0.25">
      <c r="A2363">
        <v>45</v>
      </c>
      <c r="B2363">
        <v>1</v>
      </c>
      <c r="C2363" t="s">
        <v>39</v>
      </c>
      <c r="D2363" s="4">
        <v>0</v>
      </c>
      <c r="E2363" t="s">
        <v>39</v>
      </c>
    </row>
    <row r="2364" spans="1:5" hidden="1" x14ac:dyDescent="0.25">
      <c r="A2364">
        <v>45</v>
      </c>
      <c r="B2364">
        <v>4</v>
      </c>
      <c r="C2364" t="s">
        <v>39</v>
      </c>
      <c r="D2364" s="4">
        <v>0</v>
      </c>
      <c r="E2364" t="s">
        <v>39</v>
      </c>
    </row>
    <row r="2365" spans="1:5" x14ac:dyDescent="0.25">
      <c r="A2365">
        <v>45</v>
      </c>
      <c r="B2365">
        <v>4</v>
      </c>
      <c r="C2365" t="s">
        <v>1671</v>
      </c>
      <c r="D2365" s="5">
        <v>0</v>
      </c>
      <c r="E2365" t="s">
        <v>1672</v>
      </c>
    </row>
    <row r="2366" spans="1:5" hidden="1" x14ac:dyDescent="0.25">
      <c r="A2366">
        <v>45</v>
      </c>
      <c r="B2366">
        <v>4</v>
      </c>
      <c r="C2366" t="s">
        <v>39</v>
      </c>
      <c r="D2366" s="4">
        <v>0</v>
      </c>
      <c r="E2366" t="s">
        <v>39</v>
      </c>
    </row>
    <row r="2367" spans="1:5" x14ac:dyDescent="0.25">
      <c r="A2367">
        <v>45</v>
      </c>
      <c r="B2367">
        <v>4</v>
      </c>
      <c r="C2367" t="s">
        <v>1673</v>
      </c>
      <c r="D2367" s="5">
        <v>0</v>
      </c>
      <c r="E2367" t="s">
        <v>1674</v>
      </c>
    </row>
    <row r="2368" spans="1:5" hidden="1" x14ac:dyDescent="0.25">
      <c r="A2368">
        <v>45</v>
      </c>
      <c r="B2368">
        <v>4</v>
      </c>
      <c r="C2368" t="s">
        <v>39</v>
      </c>
      <c r="D2368" s="4">
        <v>0</v>
      </c>
      <c r="E2368" t="s">
        <v>39</v>
      </c>
    </row>
    <row r="2369" spans="1:5" x14ac:dyDescent="0.25">
      <c r="A2369">
        <v>45</v>
      </c>
      <c r="B2369">
        <v>4</v>
      </c>
      <c r="C2369" t="s">
        <v>1675</v>
      </c>
      <c r="D2369" s="5">
        <v>0</v>
      </c>
      <c r="E2369" t="s">
        <v>1676</v>
      </c>
    </row>
    <row r="2370" spans="1:5" hidden="1" x14ac:dyDescent="0.25">
      <c r="A2370">
        <v>45</v>
      </c>
      <c r="B2370">
        <v>4</v>
      </c>
      <c r="C2370" t="s">
        <v>39</v>
      </c>
      <c r="D2370" s="4">
        <v>0</v>
      </c>
      <c r="E2370" t="s">
        <v>39</v>
      </c>
    </row>
    <row r="2371" spans="1:5" x14ac:dyDescent="0.25">
      <c r="A2371">
        <v>45</v>
      </c>
      <c r="B2371">
        <v>4</v>
      </c>
      <c r="C2371" t="s">
        <v>872</v>
      </c>
      <c r="D2371" s="5">
        <v>60</v>
      </c>
      <c r="E2371" t="s">
        <v>873</v>
      </c>
    </row>
    <row r="2372" spans="1:5" hidden="1" x14ac:dyDescent="0.25">
      <c r="A2372">
        <v>45</v>
      </c>
      <c r="B2372">
        <v>4</v>
      </c>
      <c r="C2372" t="s">
        <v>39</v>
      </c>
      <c r="D2372" s="4">
        <v>0</v>
      </c>
      <c r="E2372" t="s">
        <v>39</v>
      </c>
    </row>
    <row r="2373" spans="1:5" hidden="1" x14ac:dyDescent="0.25">
      <c r="A2373">
        <v>45</v>
      </c>
      <c r="B2373">
        <v>4</v>
      </c>
      <c r="C2373" t="s">
        <v>39</v>
      </c>
      <c r="D2373" s="4">
        <v>0</v>
      </c>
      <c r="E2373" t="s">
        <v>39</v>
      </c>
    </row>
    <row r="2374" spans="1:5" hidden="1" x14ac:dyDescent="0.25">
      <c r="A2374">
        <v>45</v>
      </c>
      <c r="B2374">
        <v>7</v>
      </c>
      <c r="C2374" t="s">
        <v>39</v>
      </c>
      <c r="D2374" s="4">
        <v>0</v>
      </c>
      <c r="E2374" t="s">
        <v>39</v>
      </c>
    </row>
    <row r="2375" spans="1:5" x14ac:dyDescent="0.25">
      <c r="A2375">
        <v>45</v>
      </c>
      <c r="B2375">
        <v>7</v>
      </c>
      <c r="C2375" t="s">
        <v>1677</v>
      </c>
      <c r="D2375" s="5">
        <v>0</v>
      </c>
      <c r="E2375" t="s">
        <v>1678</v>
      </c>
    </row>
    <row r="2376" spans="1:5" hidden="1" x14ac:dyDescent="0.25">
      <c r="A2376">
        <v>45</v>
      </c>
      <c r="B2376">
        <v>7</v>
      </c>
      <c r="C2376" t="s">
        <v>39</v>
      </c>
      <c r="D2376" s="4">
        <v>0</v>
      </c>
      <c r="E2376" t="s">
        <v>39</v>
      </c>
    </row>
    <row r="2377" spans="1:5" x14ac:dyDescent="0.25">
      <c r="A2377">
        <v>45</v>
      </c>
      <c r="B2377">
        <v>7</v>
      </c>
      <c r="C2377" t="s">
        <v>1679</v>
      </c>
      <c r="D2377" s="5">
        <v>0</v>
      </c>
      <c r="E2377" t="s">
        <v>2617</v>
      </c>
    </row>
    <row r="2378" spans="1:5" hidden="1" x14ac:dyDescent="0.25">
      <c r="A2378">
        <v>45</v>
      </c>
      <c r="B2378">
        <v>7</v>
      </c>
      <c r="C2378" t="s">
        <v>39</v>
      </c>
      <c r="D2378" s="4">
        <v>0</v>
      </c>
      <c r="E2378" t="s">
        <v>39</v>
      </c>
    </row>
    <row r="2379" spans="1:5" x14ac:dyDescent="0.25">
      <c r="A2379">
        <v>45</v>
      </c>
      <c r="B2379">
        <v>7</v>
      </c>
      <c r="C2379" t="s">
        <v>97</v>
      </c>
      <c r="D2379" s="5">
        <v>0</v>
      </c>
      <c r="E2379" t="s">
        <v>98</v>
      </c>
    </row>
    <row r="2380" spans="1:5" hidden="1" x14ac:dyDescent="0.25">
      <c r="A2380">
        <v>45</v>
      </c>
      <c r="B2380">
        <v>7</v>
      </c>
      <c r="C2380" t="s">
        <v>39</v>
      </c>
      <c r="D2380" s="4">
        <v>0</v>
      </c>
      <c r="E2380" t="s">
        <v>39</v>
      </c>
    </row>
    <row r="2381" spans="1:5" x14ac:dyDescent="0.25">
      <c r="A2381">
        <v>45</v>
      </c>
      <c r="B2381">
        <v>7</v>
      </c>
      <c r="C2381" t="s">
        <v>2618</v>
      </c>
      <c r="D2381" s="5">
        <v>30</v>
      </c>
      <c r="E2381" t="s">
        <v>1680</v>
      </c>
    </row>
    <row r="2382" spans="1:5" hidden="1" x14ac:dyDescent="0.25">
      <c r="A2382">
        <v>45</v>
      </c>
      <c r="B2382">
        <v>7</v>
      </c>
      <c r="C2382" t="s">
        <v>39</v>
      </c>
      <c r="D2382" s="4">
        <v>0</v>
      </c>
      <c r="E2382" t="s">
        <v>39</v>
      </c>
    </row>
    <row r="2383" spans="1:5" hidden="1" x14ac:dyDescent="0.25">
      <c r="A2383">
        <v>45</v>
      </c>
      <c r="B2383">
        <v>7</v>
      </c>
      <c r="C2383" t="s">
        <v>39</v>
      </c>
      <c r="D2383" s="4">
        <v>0</v>
      </c>
      <c r="E2383" t="s">
        <v>39</v>
      </c>
    </row>
    <row r="2384" spans="1:5" hidden="1" x14ac:dyDescent="0.25">
      <c r="A2384">
        <v>45</v>
      </c>
      <c r="B2384">
        <v>10</v>
      </c>
      <c r="C2384" t="s">
        <v>39</v>
      </c>
      <c r="D2384" s="4">
        <v>0</v>
      </c>
      <c r="E2384" t="s">
        <v>39</v>
      </c>
    </row>
    <row r="2385" spans="1:5" x14ac:dyDescent="0.25">
      <c r="A2385">
        <v>45</v>
      </c>
      <c r="B2385">
        <v>10</v>
      </c>
      <c r="C2385" t="s">
        <v>1681</v>
      </c>
      <c r="D2385" s="5">
        <v>75</v>
      </c>
      <c r="E2385" t="s">
        <v>1682</v>
      </c>
    </row>
    <row r="2386" spans="1:5" hidden="1" x14ac:dyDescent="0.25">
      <c r="A2386">
        <v>45</v>
      </c>
      <c r="B2386">
        <v>10</v>
      </c>
      <c r="C2386" t="s">
        <v>39</v>
      </c>
      <c r="D2386" s="4">
        <v>0</v>
      </c>
      <c r="E2386" t="s">
        <v>39</v>
      </c>
    </row>
    <row r="2387" spans="1:5" hidden="1" x14ac:dyDescent="0.25">
      <c r="A2387">
        <v>45</v>
      </c>
      <c r="B2387">
        <v>10</v>
      </c>
      <c r="C2387" t="s">
        <v>39</v>
      </c>
      <c r="D2387" s="4">
        <v>0</v>
      </c>
      <c r="E2387" t="s">
        <v>39</v>
      </c>
    </row>
    <row r="2388" spans="1:5" x14ac:dyDescent="0.25">
      <c r="A2388">
        <v>45</v>
      </c>
      <c r="B2388">
        <v>10</v>
      </c>
      <c r="C2388" t="s">
        <v>1683</v>
      </c>
      <c r="D2388" s="5">
        <v>60</v>
      </c>
      <c r="E2388" t="s">
        <v>1684</v>
      </c>
    </row>
    <row r="2389" spans="1:5" hidden="1" x14ac:dyDescent="0.25">
      <c r="A2389">
        <v>45</v>
      </c>
      <c r="B2389">
        <v>10</v>
      </c>
      <c r="C2389" t="s">
        <v>39</v>
      </c>
      <c r="D2389" s="4">
        <v>0</v>
      </c>
      <c r="E2389" t="s">
        <v>39</v>
      </c>
    </row>
    <row r="2390" spans="1:5" hidden="1" x14ac:dyDescent="0.25">
      <c r="A2390">
        <v>45</v>
      </c>
      <c r="B2390">
        <v>10</v>
      </c>
      <c r="C2390" t="s">
        <v>39</v>
      </c>
      <c r="D2390" s="4">
        <v>0</v>
      </c>
      <c r="E2390" t="s">
        <v>39</v>
      </c>
    </row>
    <row r="2391" spans="1:5" hidden="1" x14ac:dyDescent="0.25">
      <c r="A2391">
        <v>45</v>
      </c>
      <c r="B2391">
        <v>13</v>
      </c>
      <c r="C2391" t="s">
        <v>39</v>
      </c>
      <c r="D2391" s="4">
        <v>0</v>
      </c>
      <c r="E2391" t="s">
        <v>39</v>
      </c>
    </row>
    <row r="2392" spans="1:5" x14ac:dyDescent="0.25">
      <c r="A2392">
        <v>45</v>
      </c>
      <c r="B2392">
        <v>13</v>
      </c>
      <c r="C2392" t="s">
        <v>1685</v>
      </c>
      <c r="D2392" s="5">
        <v>0</v>
      </c>
      <c r="E2392" t="s">
        <v>1686</v>
      </c>
    </row>
    <row r="2393" spans="1:5" hidden="1" x14ac:dyDescent="0.25">
      <c r="A2393">
        <v>45</v>
      </c>
      <c r="B2393">
        <v>13</v>
      </c>
      <c r="C2393" t="s">
        <v>39</v>
      </c>
      <c r="D2393" s="4">
        <v>0</v>
      </c>
      <c r="E2393" t="s">
        <v>39</v>
      </c>
    </row>
    <row r="2394" spans="1:5" x14ac:dyDescent="0.25">
      <c r="A2394">
        <v>45</v>
      </c>
      <c r="B2394">
        <v>13</v>
      </c>
      <c r="C2394" t="s">
        <v>1687</v>
      </c>
      <c r="D2394" s="5">
        <v>0</v>
      </c>
      <c r="E2394" t="s">
        <v>1688</v>
      </c>
    </row>
    <row r="2395" spans="1:5" hidden="1" x14ac:dyDescent="0.25">
      <c r="A2395">
        <v>45</v>
      </c>
      <c r="B2395">
        <v>13</v>
      </c>
      <c r="C2395" t="s">
        <v>39</v>
      </c>
      <c r="D2395" s="4">
        <v>0</v>
      </c>
      <c r="E2395" t="s">
        <v>39</v>
      </c>
    </row>
    <row r="2396" spans="1:5" x14ac:dyDescent="0.25">
      <c r="A2396">
        <v>45</v>
      </c>
      <c r="B2396">
        <v>13</v>
      </c>
      <c r="C2396" t="s">
        <v>537</v>
      </c>
      <c r="D2396" s="5">
        <v>0</v>
      </c>
      <c r="E2396" t="s">
        <v>2455</v>
      </c>
    </row>
    <row r="2397" spans="1:5" hidden="1" x14ac:dyDescent="0.25">
      <c r="A2397">
        <v>45</v>
      </c>
      <c r="B2397">
        <v>13</v>
      </c>
      <c r="C2397" t="s">
        <v>39</v>
      </c>
      <c r="D2397" s="4">
        <v>0</v>
      </c>
      <c r="E2397" t="s">
        <v>39</v>
      </c>
    </row>
    <row r="2398" spans="1:5" x14ac:dyDescent="0.25">
      <c r="A2398">
        <v>45</v>
      </c>
      <c r="B2398">
        <v>13</v>
      </c>
      <c r="C2398" t="s">
        <v>812</v>
      </c>
      <c r="D2398" s="5">
        <v>0.75</v>
      </c>
      <c r="E2398" t="s">
        <v>813</v>
      </c>
    </row>
    <row r="2399" spans="1:5" hidden="1" x14ac:dyDescent="0.25">
      <c r="A2399">
        <v>45</v>
      </c>
      <c r="B2399">
        <v>13</v>
      </c>
      <c r="C2399" t="s">
        <v>39</v>
      </c>
      <c r="D2399" s="4">
        <v>0</v>
      </c>
      <c r="E2399" t="s">
        <v>39</v>
      </c>
    </row>
    <row r="2400" spans="1:5" hidden="1" x14ac:dyDescent="0.25">
      <c r="A2400">
        <v>45</v>
      </c>
      <c r="B2400">
        <v>13</v>
      </c>
      <c r="C2400" t="s">
        <v>39</v>
      </c>
      <c r="D2400" s="4">
        <v>0</v>
      </c>
      <c r="E2400" t="s">
        <v>39</v>
      </c>
    </row>
    <row r="2401" spans="1:5" hidden="1" x14ac:dyDescent="0.25">
      <c r="A2401">
        <v>45</v>
      </c>
      <c r="B2401">
        <v>16</v>
      </c>
      <c r="C2401" t="s">
        <v>39</v>
      </c>
      <c r="D2401" s="4">
        <v>0</v>
      </c>
      <c r="E2401" t="s">
        <v>39</v>
      </c>
    </row>
    <row r="2402" spans="1:5" x14ac:dyDescent="0.25">
      <c r="A2402">
        <v>45</v>
      </c>
      <c r="B2402">
        <v>16</v>
      </c>
      <c r="C2402" t="s">
        <v>1689</v>
      </c>
      <c r="D2402" s="5">
        <v>0</v>
      </c>
      <c r="E2402" t="s">
        <v>1690</v>
      </c>
    </row>
    <row r="2403" spans="1:5" hidden="1" x14ac:dyDescent="0.25">
      <c r="A2403">
        <v>45</v>
      </c>
      <c r="B2403">
        <v>16</v>
      </c>
      <c r="C2403" t="s">
        <v>39</v>
      </c>
      <c r="D2403" s="4">
        <v>0</v>
      </c>
      <c r="E2403" t="s">
        <v>39</v>
      </c>
    </row>
    <row r="2404" spans="1:5" x14ac:dyDescent="0.25">
      <c r="A2404">
        <v>45</v>
      </c>
      <c r="B2404">
        <v>16</v>
      </c>
      <c r="C2404" t="s">
        <v>1691</v>
      </c>
      <c r="D2404" s="5">
        <v>0</v>
      </c>
      <c r="E2404" t="s">
        <v>1692</v>
      </c>
    </row>
    <row r="2405" spans="1:5" hidden="1" x14ac:dyDescent="0.25">
      <c r="A2405">
        <v>45</v>
      </c>
      <c r="B2405">
        <v>16</v>
      </c>
      <c r="C2405" t="s">
        <v>39</v>
      </c>
      <c r="D2405" s="4">
        <v>0</v>
      </c>
      <c r="E2405" t="s">
        <v>39</v>
      </c>
    </row>
    <row r="2406" spans="1:5" x14ac:dyDescent="0.25">
      <c r="A2406">
        <v>45</v>
      </c>
      <c r="B2406">
        <v>16</v>
      </c>
      <c r="C2406" t="s">
        <v>1693</v>
      </c>
      <c r="D2406" s="5">
        <v>0</v>
      </c>
      <c r="E2406" t="s">
        <v>2619</v>
      </c>
    </row>
    <row r="2407" spans="1:5" hidden="1" x14ac:dyDescent="0.25">
      <c r="A2407">
        <v>45</v>
      </c>
      <c r="B2407">
        <v>16</v>
      </c>
      <c r="C2407" t="s">
        <v>39</v>
      </c>
      <c r="D2407" s="4">
        <v>0</v>
      </c>
      <c r="E2407" t="s">
        <v>39</v>
      </c>
    </row>
    <row r="2408" spans="1:5" x14ac:dyDescent="0.25">
      <c r="A2408">
        <v>45</v>
      </c>
      <c r="B2408">
        <v>16</v>
      </c>
      <c r="C2408" t="s">
        <v>75</v>
      </c>
      <c r="D2408" s="5">
        <v>60</v>
      </c>
      <c r="E2408" t="s">
        <v>2404</v>
      </c>
    </row>
    <row r="2409" spans="1:5" hidden="1" x14ac:dyDescent="0.25">
      <c r="A2409">
        <v>45</v>
      </c>
      <c r="B2409">
        <v>16</v>
      </c>
      <c r="C2409" t="s">
        <v>39</v>
      </c>
      <c r="D2409" s="4">
        <v>0</v>
      </c>
      <c r="E2409" t="s">
        <v>39</v>
      </c>
    </row>
    <row r="2410" spans="1:5" hidden="1" x14ac:dyDescent="0.25">
      <c r="A2410">
        <v>45</v>
      </c>
      <c r="B2410">
        <v>16</v>
      </c>
      <c r="C2410" t="s">
        <v>39</v>
      </c>
      <c r="D2410" s="4">
        <v>0</v>
      </c>
      <c r="E2410" t="s">
        <v>39</v>
      </c>
    </row>
    <row r="2411" spans="1:5" hidden="1" x14ac:dyDescent="0.25">
      <c r="A2411">
        <v>45</v>
      </c>
      <c r="B2411">
        <v>20</v>
      </c>
      <c r="C2411" t="s">
        <v>39</v>
      </c>
      <c r="D2411" s="4">
        <v>0</v>
      </c>
      <c r="E2411" t="s">
        <v>39</v>
      </c>
    </row>
    <row r="2412" spans="1:5" x14ac:dyDescent="0.25">
      <c r="A2412">
        <v>45</v>
      </c>
      <c r="B2412">
        <v>20</v>
      </c>
      <c r="C2412" t="s">
        <v>1694</v>
      </c>
      <c r="D2412" s="5">
        <v>0</v>
      </c>
      <c r="E2412" t="s">
        <v>1695</v>
      </c>
    </row>
    <row r="2413" spans="1:5" hidden="1" x14ac:dyDescent="0.25">
      <c r="A2413">
        <v>45</v>
      </c>
      <c r="B2413">
        <v>20</v>
      </c>
      <c r="C2413" t="s">
        <v>39</v>
      </c>
      <c r="D2413" s="4">
        <v>0</v>
      </c>
      <c r="E2413" t="s">
        <v>39</v>
      </c>
    </row>
    <row r="2414" spans="1:5" x14ac:dyDescent="0.25">
      <c r="A2414">
        <v>45</v>
      </c>
      <c r="B2414">
        <v>20</v>
      </c>
      <c r="C2414" t="s">
        <v>1696</v>
      </c>
      <c r="D2414" s="5">
        <v>0</v>
      </c>
      <c r="E2414" t="s">
        <v>1697</v>
      </c>
    </row>
    <row r="2415" spans="1:5" hidden="1" x14ac:dyDescent="0.25">
      <c r="A2415">
        <v>45</v>
      </c>
      <c r="B2415">
        <v>20</v>
      </c>
      <c r="C2415" t="s">
        <v>39</v>
      </c>
      <c r="D2415" s="4">
        <v>0</v>
      </c>
      <c r="E2415" t="s">
        <v>39</v>
      </c>
    </row>
    <row r="2416" spans="1:5" x14ac:dyDescent="0.25">
      <c r="A2416">
        <v>45</v>
      </c>
      <c r="B2416">
        <v>20</v>
      </c>
      <c r="C2416" t="s">
        <v>120</v>
      </c>
      <c r="D2416" s="5">
        <v>0</v>
      </c>
      <c r="E2416" t="s">
        <v>121</v>
      </c>
    </row>
    <row r="2417" spans="1:5" hidden="1" x14ac:dyDescent="0.25">
      <c r="A2417">
        <v>45</v>
      </c>
      <c r="B2417">
        <v>20</v>
      </c>
      <c r="C2417" t="s">
        <v>39</v>
      </c>
      <c r="D2417" s="4">
        <v>0</v>
      </c>
      <c r="E2417" t="s">
        <v>39</v>
      </c>
    </row>
    <row r="2418" spans="1:5" x14ac:dyDescent="0.25">
      <c r="A2418">
        <v>45</v>
      </c>
      <c r="B2418">
        <v>20</v>
      </c>
      <c r="C2418" t="s">
        <v>193</v>
      </c>
      <c r="D2418" s="5">
        <v>70</v>
      </c>
      <c r="E2418" t="s">
        <v>194</v>
      </c>
    </row>
    <row r="2419" spans="1:5" x14ac:dyDescent="0.25">
      <c r="A2419">
        <v>46</v>
      </c>
      <c r="B2419">
        <v>1</v>
      </c>
      <c r="C2419" t="s">
        <v>1698</v>
      </c>
      <c r="D2419" s="5">
        <v>0</v>
      </c>
      <c r="E2419" t="s">
        <v>2620</v>
      </c>
    </row>
    <row r="2420" spans="1:5" hidden="1" x14ac:dyDescent="0.25">
      <c r="A2420">
        <v>46</v>
      </c>
      <c r="B2420">
        <v>1</v>
      </c>
      <c r="C2420" t="s">
        <v>39</v>
      </c>
      <c r="D2420" s="4">
        <v>0</v>
      </c>
      <c r="E2420" t="s">
        <v>39</v>
      </c>
    </row>
    <row r="2421" spans="1:5" x14ac:dyDescent="0.25">
      <c r="A2421">
        <v>46</v>
      </c>
      <c r="B2421">
        <v>1</v>
      </c>
      <c r="C2421" t="s">
        <v>1699</v>
      </c>
      <c r="D2421" s="5">
        <v>0</v>
      </c>
      <c r="E2421" t="s">
        <v>1700</v>
      </c>
    </row>
    <row r="2422" spans="1:5" hidden="1" x14ac:dyDescent="0.25">
      <c r="A2422">
        <v>46</v>
      </c>
      <c r="B2422">
        <v>1</v>
      </c>
      <c r="C2422" t="s">
        <v>39</v>
      </c>
      <c r="D2422" s="4">
        <v>0</v>
      </c>
      <c r="E2422" t="s">
        <v>39</v>
      </c>
    </row>
    <row r="2423" spans="1:5" x14ac:dyDescent="0.25">
      <c r="A2423">
        <v>46</v>
      </c>
      <c r="B2423">
        <v>1</v>
      </c>
      <c r="C2423" t="s">
        <v>1701</v>
      </c>
      <c r="D2423" s="5">
        <v>0</v>
      </c>
      <c r="E2423" t="s">
        <v>1702</v>
      </c>
    </row>
    <row r="2424" spans="1:5" hidden="1" x14ac:dyDescent="0.25">
      <c r="A2424">
        <v>46</v>
      </c>
      <c r="B2424">
        <v>1</v>
      </c>
      <c r="C2424" t="s">
        <v>39</v>
      </c>
      <c r="D2424" s="4">
        <v>0</v>
      </c>
      <c r="E2424" t="s">
        <v>39</v>
      </c>
    </row>
    <row r="2425" spans="1:5" hidden="1" x14ac:dyDescent="0.25">
      <c r="A2425">
        <v>46</v>
      </c>
      <c r="B2425">
        <v>4</v>
      </c>
      <c r="C2425" t="s">
        <v>39</v>
      </c>
      <c r="D2425" s="4">
        <v>0</v>
      </c>
      <c r="E2425" t="s">
        <v>39</v>
      </c>
    </row>
    <row r="2426" spans="1:5" x14ac:dyDescent="0.25">
      <c r="A2426">
        <v>46</v>
      </c>
      <c r="B2426">
        <v>4</v>
      </c>
      <c r="C2426" t="s">
        <v>1703</v>
      </c>
      <c r="D2426" s="5">
        <v>0</v>
      </c>
      <c r="E2426" t="s">
        <v>1704</v>
      </c>
    </row>
    <row r="2427" spans="1:5" hidden="1" x14ac:dyDescent="0.25">
      <c r="A2427">
        <v>46</v>
      </c>
      <c r="B2427">
        <v>4</v>
      </c>
      <c r="C2427" t="s">
        <v>39</v>
      </c>
      <c r="D2427" s="4">
        <v>0</v>
      </c>
      <c r="E2427" t="s">
        <v>39</v>
      </c>
    </row>
    <row r="2428" spans="1:5" x14ac:dyDescent="0.25">
      <c r="A2428">
        <v>46</v>
      </c>
      <c r="B2428">
        <v>4</v>
      </c>
      <c r="C2428" t="s">
        <v>1705</v>
      </c>
      <c r="D2428" s="5">
        <v>0</v>
      </c>
      <c r="E2428" t="s">
        <v>1706</v>
      </c>
    </row>
    <row r="2429" spans="1:5" hidden="1" x14ac:dyDescent="0.25">
      <c r="A2429">
        <v>46</v>
      </c>
      <c r="B2429">
        <v>4</v>
      </c>
      <c r="C2429" t="s">
        <v>39</v>
      </c>
      <c r="D2429" s="4">
        <v>0</v>
      </c>
      <c r="E2429" t="s">
        <v>39</v>
      </c>
    </row>
    <row r="2430" spans="1:5" x14ac:dyDescent="0.25">
      <c r="A2430">
        <v>46</v>
      </c>
      <c r="B2430">
        <v>4</v>
      </c>
      <c r="C2430" t="s">
        <v>1707</v>
      </c>
      <c r="D2430" s="5">
        <v>0</v>
      </c>
      <c r="E2430" t="s">
        <v>1731</v>
      </c>
    </row>
    <row r="2431" spans="1:5" hidden="1" x14ac:dyDescent="0.25">
      <c r="A2431">
        <v>46</v>
      </c>
      <c r="B2431">
        <v>4</v>
      </c>
      <c r="C2431" t="s">
        <v>39</v>
      </c>
      <c r="D2431" s="4">
        <v>0</v>
      </c>
      <c r="E2431" t="s">
        <v>39</v>
      </c>
    </row>
    <row r="2432" spans="1:5" hidden="1" x14ac:dyDescent="0.25">
      <c r="A2432">
        <v>46</v>
      </c>
      <c r="B2432">
        <v>7</v>
      </c>
      <c r="C2432" t="s">
        <v>39</v>
      </c>
      <c r="D2432" s="4">
        <v>0</v>
      </c>
      <c r="E2432" t="s">
        <v>39</v>
      </c>
    </row>
    <row r="2433" spans="1:5" x14ac:dyDescent="0.25">
      <c r="A2433">
        <v>46</v>
      </c>
      <c r="B2433">
        <v>7</v>
      </c>
      <c r="C2433" t="s">
        <v>1708</v>
      </c>
      <c r="D2433" s="5">
        <v>0</v>
      </c>
      <c r="E2433" t="s">
        <v>2621</v>
      </c>
    </row>
    <row r="2434" spans="1:5" hidden="1" x14ac:dyDescent="0.25">
      <c r="A2434">
        <v>46</v>
      </c>
      <c r="B2434">
        <v>7</v>
      </c>
      <c r="C2434" t="s">
        <v>39</v>
      </c>
      <c r="D2434" s="4">
        <v>0</v>
      </c>
      <c r="E2434" t="s">
        <v>39</v>
      </c>
    </row>
    <row r="2435" spans="1:5" x14ac:dyDescent="0.25">
      <c r="A2435">
        <v>46</v>
      </c>
      <c r="B2435">
        <v>7</v>
      </c>
      <c r="C2435" t="s">
        <v>1709</v>
      </c>
      <c r="D2435" s="5">
        <v>0</v>
      </c>
      <c r="E2435" t="s">
        <v>1710</v>
      </c>
    </row>
    <row r="2436" spans="1:5" hidden="1" x14ac:dyDescent="0.25">
      <c r="A2436">
        <v>46</v>
      </c>
      <c r="B2436">
        <v>7</v>
      </c>
      <c r="C2436" t="s">
        <v>39</v>
      </c>
      <c r="D2436" s="4">
        <v>0</v>
      </c>
      <c r="E2436" t="s">
        <v>39</v>
      </c>
    </row>
    <row r="2437" spans="1:5" x14ac:dyDescent="0.25">
      <c r="A2437">
        <v>46</v>
      </c>
      <c r="B2437">
        <v>7</v>
      </c>
      <c r="C2437" t="s">
        <v>1711</v>
      </c>
      <c r="D2437" s="5">
        <v>0</v>
      </c>
      <c r="E2437" t="s">
        <v>1712</v>
      </c>
    </row>
    <row r="2438" spans="1:5" hidden="1" x14ac:dyDescent="0.25">
      <c r="A2438">
        <v>46</v>
      </c>
      <c r="B2438">
        <v>7</v>
      </c>
      <c r="C2438" t="s">
        <v>39</v>
      </c>
      <c r="D2438" s="4">
        <v>0</v>
      </c>
      <c r="E2438" t="s">
        <v>39</v>
      </c>
    </row>
    <row r="2439" spans="1:5" hidden="1" x14ac:dyDescent="0.25">
      <c r="A2439">
        <v>46</v>
      </c>
      <c r="B2439">
        <v>10</v>
      </c>
      <c r="C2439" t="s">
        <v>39</v>
      </c>
      <c r="D2439" s="4">
        <v>0</v>
      </c>
      <c r="E2439" t="s">
        <v>39</v>
      </c>
    </row>
    <row r="2440" spans="1:5" x14ac:dyDescent="0.25">
      <c r="A2440">
        <v>46</v>
      </c>
      <c r="B2440">
        <v>10</v>
      </c>
      <c r="C2440" t="s">
        <v>1713</v>
      </c>
      <c r="D2440" s="5">
        <v>0</v>
      </c>
      <c r="E2440" t="s">
        <v>2622</v>
      </c>
    </row>
    <row r="2441" spans="1:5" hidden="1" x14ac:dyDescent="0.25">
      <c r="A2441">
        <v>46</v>
      </c>
      <c r="B2441">
        <v>10</v>
      </c>
      <c r="C2441" t="s">
        <v>39</v>
      </c>
      <c r="D2441" s="4">
        <v>0</v>
      </c>
      <c r="E2441" t="s">
        <v>39</v>
      </c>
    </row>
    <row r="2442" spans="1:5" x14ac:dyDescent="0.25">
      <c r="A2442">
        <v>46</v>
      </c>
      <c r="B2442">
        <v>10</v>
      </c>
      <c r="C2442" t="s">
        <v>1714</v>
      </c>
      <c r="D2442" s="5">
        <v>0</v>
      </c>
      <c r="E2442" t="s">
        <v>2623</v>
      </c>
    </row>
    <row r="2443" spans="1:5" hidden="1" x14ac:dyDescent="0.25">
      <c r="A2443">
        <v>46</v>
      </c>
      <c r="B2443">
        <v>10</v>
      </c>
      <c r="C2443" t="s">
        <v>39</v>
      </c>
      <c r="D2443" s="4">
        <v>0</v>
      </c>
      <c r="E2443" t="s">
        <v>39</v>
      </c>
    </row>
    <row r="2444" spans="1:5" x14ac:dyDescent="0.25">
      <c r="A2444">
        <v>46</v>
      </c>
      <c r="B2444">
        <v>10</v>
      </c>
      <c r="C2444" t="s">
        <v>1715</v>
      </c>
      <c r="D2444" s="5">
        <v>0</v>
      </c>
      <c r="E2444" t="s">
        <v>2624</v>
      </c>
    </row>
    <row r="2445" spans="1:5" hidden="1" x14ac:dyDescent="0.25">
      <c r="A2445">
        <v>46</v>
      </c>
      <c r="B2445">
        <v>10</v>
      </c>
      <c r="C2445" t="s">
        <v>39</v>
      </c>
      <c r="D2445" s="4">
        <v>0</v>
      </c>
      <c r="E2445" t="s">
        <v>39</v>
      </c>
    </row>
    <row r="2446" spans="1:5" hidden="1" x14ac:dyDescent="0.25">
      <c r="A2446">
        <v>46</v>
      </c>
      <c r="B2446">
        <v>13</v>
      </c>
      <c r="C2446" t="s">
        <v>39</v>
      </c>
      <c r="D2446" s="4">
        <v>0</v>
      </c>
      <c r="E2446" t="s">
        <v>39</v>
      </c>
    </row>
    <row r="2447" spans="1:5" x14ac:dyDescent="0.25">
      <c r="A2447">
        <v>46</v>
      </c>
      <c r="B2447">
        <v>13</v>
      </c>
      <c r="C2447" t="s">
        <v>1716</v>
      </c>
      <c r="D2447" s="5">
        <v>0</v>
      </c>
      <c r="E2447" t="s">
        <v>2625</v>
      </c>
    </row>
    <row r="2448" spans="1:5" hidden="1" x14ac:dyDescent="0.25">
      <c r="A2448">
        <v>46</v>
      </c>
      <c r="B2448">
        <v>13</v>
      </c>
      <c r="C2448" t="s">
        <v>39</v>
      </c>
      <c r="D2448" s="4">
        <v>0</v>
      </c>
      <c r="E2448" t="s">
        <v>39</v>
      </c>
    </row>
    <row r="2449" spans="1:5" x14ac:dyDescent="0.25">
      <c r="A2449">
        <v>46</v>
      </c>
      <c r="B2449">
        <v>13</v>
      </c>
      <c r="C2449" t="s">
        <v>1717</v>
      </c>
      <c r="D2449" s="5">
        <v>0</v>
      </c>
      <c r="E2449" t="s">
        <v>1718</v>
      </c>
    </row>
    <row r="2450" spans="1:5" hidden="1" x14ac:dyDescent="0.25">
      <c r="A2450">
        <v>46</v>
      </c>
      <c r="B2450">
        <v>13</v>
      </c>
      <c r="C2450" t="s">
        <v>39</v>
      </c>
      <c r="D2450" s="4">
        <v>0</v>
      </c>
      <c r="E2450" t="s">
        <v>39</v>
      </c>
    </row>
    <row r="2451" spans="1:5" x14ac:dyDescent="0.25">
      <c r="A2451">
        <v>46</v>
      </c>
      <c r="B2451">
        <v>13</v>
      </c>
      <c r="C2451" t="s">
        <v>1719</v>
      </c>
      <c r="D2451" s="5">
        <v>0</v>
      </c>
      <c r="E2451" t="s">
        <v>1720</v>
      </c>
    </row>
    <row r="2452" spans="1:5" hidden="1" x14ac:dyDescent="0.25">
      <c r="A2452">
        <v>46</v>
      </c>
      <c r="B2452">
        <v>13</v>
      </c>
      <c r="C2452" t="s">
        <v>39</v>
      </c>
      <c r="D2452" s="4">
        <v>0</v>
      </c>
      <c r="E2452" t="s">
        <v>39</v>
      </c>
    </row>
    <row r="2453" spans="1:5" hidden="1" x14ac:dyDescent="0.25">
      <c r="A2453">
        <v>46</v>
      </c>
      <c r="B2453">
        <v>16</v>
      </c>
      <c r="C2453" t="s">
        <v>39</v>
      </c>
      <c r="D2453" s="4">
        <v>0</v>
      </c>
      <c r="E2453" t="s">
        <v>39</v>
      </c>
    </row>
    <row r="2454" spans="1:5" x14ac:dyDescent="0.25">
      <c r="A2454">
        <v>46</v>
      </c>
      <c r="B2454">
        <v>16</v>
      </c>
      <c r="C2454" t="s">
        <v>1721</v>
      </c>
      <c r="D2454" s="5">
        <v>0</v>
      </c>
      <c r="E2454" t="s">
        <v>1722</v>
      </c>
    </row>
    <row r="2455" spans="1:5" hidden="1" x14ac:dyDescent="0.25">
      <c r="A2455">
        <v>46</v>
      </c>
      <c r="B2455">
        <v>16</v>
      </c>
      <c r="C2455" t="s">
        <v>39</v>
      </c>
      <c r="D2455" s="4">
        <v>0</v>
      </c>
      <c r="E2455" t="s">
        <v>39</v>
      </c>
    </row>
    <row r="2456" spans="1:5" x14ac:dyDescent="0.25">
      <c r="A2456">
        <v>46</v>
      </c>
      <c r="B2456">
        <v>16</v>
      </c>
      <c r="C2456" t="s">
        <v>1723</v>
      </c>
      <c r="D2456" s="5">
        <v>0</v>
      </c>
      <c r="E2456" t="s">
        <v>1724</v>
      </c>
    </row>
    <row r="2457" spans="1:5" hidden="1" x14ac:dyDescent="0.25">
      <c r="A2457">
        <v>46</v>
      </c>
      <c r="B2457">
        <v>16</v>
      </c>
      <c r="C2457" t="s">
        <v>39</v>
      </c>
      <c r="D2457" s="4">
        <v>0</v>
      </c>
      <c r="E2457" t="s">
        <v>39</v>
      </c>
    </row>
    <row r="2458" spans="1:5" x14ac:dyDescent="0.25">
      <c r="A2458">
        <v>46</v>
      </c>
      <c r="B2458">
        <v>16</v>
      </c>
      <c r="C2458" t="s">
        <v>1725</v>
      </c>
      <c r="D2458" s="5">
        <v>0</v>
      </c>
      <c r="E2458" t="s">
        <v>1726</v>
      </c>
    </row>
    <row r="2459" spans="1:5" hidden="1" x14ac:dyDescent="0.25">
      <c r="A2459">
        <v>46</v>
      </c>
      <c r="B2459">
        <v>16</v>
      </c>
      <c r="C2459" t="s">
        <v>39</v>
      </c>
      <c r="D2459" s="4">
        <v>0</v>
      </c>
      <c r="E2459" t="s">
        <v>39</v>
      </c>
    </row>
    <row r="2460" spans="1:5" hidden="1" x14ac:dyDescent="0.25">
      <c r="A2460">
        <v>46</v>
      </c>
      <c r="B2460">
        <v>20</v>
      </c>
      <c r="C2460" t="s">
        <v>39</v>
      </c>
      <c r="D2460" s="4">
        <v>0</v>
      </c>
      <c r="E2460" t="s">
        <v>39</v>
      </c>
    </row>
    <row r="2461" spans="1:5" x14ac:dyDescent="0.25">
      <c r="A2461">
        <v>46</v>
      </c>
      <c r="B2461">
        <v>20</v>
      </c>
      <c r="C2461" t="s">
        <v>1727</v>
      </c>
      <c r="D2461" s="5">
        <v>0</v>
      </c>
      <c r="E2461" t="s">
        <v>2626</v>
      </c>
    </row>
    <row r="2462" spans="1:5" hidden="1" x14ac:dyDescent="0.25">
      <c r="A2462">
        <v>46</v>
      </c>
      <c r="B2462">
        <v>20</v>
      </c>
      <c r="C2462" t="s">
        <v>39</v>
      </c>
      <c r="D2462" s="4">
        <v>0</v>
      </c>
      <c r="E2462" t="s">
        <v>39</v>
      </c>
    </row>
    <row r="2463" spans="1:5" x14ac:dyDescent="0.25">
      <c r="A2463">
        <v>46</v>
      </c>
      <c r="B2463">
        <v>20</v>
      </c>
      <c r="C2463" t="s">
        <v>1728</v>
      </c>
      <c r="D2463" s="5">
        <v>0</v>
      </c>
      <c r="E2463" t="s">
        <v>2627</v>
      </c>
    </row>
    <row r="2464" spans="1:5" hidden="1" x14ac:dyDescent="0.25">
      <c r="A2464">
        <v>46</v>
      </c>
      <c r="B2464">
        <v>20</v>
      </c>
      <c r="C2464" t="s">
        <v>39</v>
      </c>
      <c r="D2464" s="4">
        <v>0</v>
      </c>
      <c r="E2464" t="s">
        <v>39</v>
      </c>
    </row>
    <row r="2465" spans="1:5" x14ac:dyDescent="0.25">
      <c r="A2465">
        <v>46</v>
      </c>
      <c r="B2465">
        <v>20</v>
      </c>
      <c r="C2465" t="s">
        <v>1729</v>
      </c>
      <c r="D2465" s="5">
        <v>0</v>
      </c>
      <c r="E2465" t="s">
        <v>1730</v>
      </c>
    </row>
    <row r="2466" spans="1:5" x14ac:dyDescent="0.25">
      <c r="A2466">
        <v>47</v>
      </c>
      <c r="B2466">
        <v>1</v>
      </c>
      <c r="C2466" t="s">
        <v>1732</v>
      </c>
      <c r="D2466" s="5">
        <v>0</v>
      </c>
      <c r="E2466" t="s">
        <v>1733</v>
      </c>
    </row>
    <row r="2467" spans="1:5" hidden="1" x14ac:dyDescent="0.25">
      <c r="A2467">
        <v>47</v>
      </c>
      <c r="B2467">
        <v>1</v>
      </c>
      <c r="C2467" t="s">
        <v>39</v>
      </c>
      <c r="D2467" s="4">
        <v>0</v>
      </c>
      <c r="E2467" t="s">
        <v>39</v>
      </c>
    </row>
    <row r="2468" spans="1:5" x14ac:dyDescent="0.25">
      <c r="A2468">
        <v>47</v>
      </c>
      <c r="B2468">
        <v>1</v>
      </c>
      <c r="C2468" t="s">
        <v>1734</v>
      </c>
      <c r="D2468" s="5">
        <v>0</v>
      </c>
      <c r="E2468" t="s">
        <v>1764</v>
      </c>
    </row>
    <row r="2469" spans="1:5" hidden="1" x14ac:dyDescent="0.25">
      <c r="A2469">
        <v>47</v>
      </c>
      <c r="B2469">
        <v>1</v>
      </c>
      <c r="C2469" t="s">
        <v>39</v>
      </c>
      <c r="D2469" s="4">
        <v>0</v>
      </c>
      <c r="E2469" t="s">
        <v>39</v>
      </c>
    </row>
    <row r="2470" spans="1:5" x14ac:dyDescent="0.25">
      <c r="A2470">
        <v>47</v>
      </c>
      <c r="B2470">
        <v>1</v>
      </c>
      <c r="C2470" t="s">
        <v>1735</v>
      </c>
      <c r="D2470" s="5">
        <v>0</v>
      </c>
      <c r="E2470" t="s">
        <v>1736</v>
      </c>
    </row>
    <row r="2471" spans="1:5" hidden="1" x14ac:dyDescent="0.25">
      <c r="A2471">
        <v>47</v>
      </c>
      <c r="B2471">
        <v>1</v>
      </c>
      <c r="C2471" t="s">
        <v>39</v>
      </c>
      <c r="D2471" s="4">
        <v>0</v>
      </c>
      <c r="E2471" t="s">
        <v>39</v>
      </c>
    </row>
    <row r="2472" spans="1:5" hidden="1" x14ac:dyDescent="0.25">
      <c r="A2472">
        <v>47</v>
      </c>
      <c r="B2472">
        <v>4</v>
      </c>
      <c r="C2472" t="s">
        <v>39</v>
      </c>
      <c r="D2472" s="4">
        <v>0</v>
      </c>
      <c r="E2472" t="s">
        <v>39</v>
      </c>
    </row>
    <row r="2473" spans="1:5" x14ac:dyDescent="0.25">
      <c r="A2473">
        <v>47</v>
      </c>
      <c r="B2473">
        <v>4</v>
      </c>
      <c r="C2473" t="s">
        <v>1737</v>
      </c>
      <c r="D2473" s="5">
        <v>0</v>
      </c>
      <c r="E2473" t="s">
        <v>1765</v>
      </c>
    </row>
    <row r="2474" spans="1:5" hidden="1" x14ac:dyDescent="0.25">
      <c r="A2474">
        <v>47</v>
      </c>
      <c r="B2474">
        <v>4</v>
      </c>
      <c r="C2474" t="s">
        <v>39</v>
      </c>
      <c r="D2474" s="4">
        <v>0</v>
      </c>
      <c r="E2474" t="s">
        <v>39</v>
      </c>
    </row>
    <row r="2475" spans="1:5" x14ac:dyDescent="0.25">
      <c r="A2475">
        <v>47</v>
      </c>
      <c r="B2475">
        <v>4</v>
      </c>
      <c r="C2475" t="s">
        <v>1738</v>
      </c>
      <c r="D2475" s="5">
        <v>0</v>
      </c>
      <c r="E2475" t="s">
        <v>2628</v>
      </c>
    </row>
    <row r="2476" spans="1:5" hidden="1" x14ac:dyDescent="0.25">
      <c r="A2476">
        <v>47</v>
      </c>
      <c r="B2476">
        <v>4</v>
      </c>
      <c r="C2476" t="s">
        <v>39</v>
      </c>
      <c r="D2476" s="4">
        <v>0</v>
      </c>
      <c r="E2476" t="s">
        <v>39</v>
      </c>
    </row>
    <row r="2477" spans="1:5" x14ac:dyDescent="0.25">
      <c r="A2477">
        <v>47</v>
      </c>
      <c r="B2477">
        <v>4</v>
      </c>
      <c r="C2477" t="s">
        <v>1739</v>
      </c>
      <c r="D2477" s="5">
        <v>0</v>
      </c>
      <c r="E2477" t="s">
        <v>1740</v>
      </c>
    </row>
    <row r="2478" spans="1:5" hidden="1" x14ac:dyDescent="0.25">
      <c r="A2478">
        <v>47</v>
      </c>
      <c r="B2478">
        <v>4</v>
      </c>
      <c r="C2478" t="s">
        <v>39</v>
      </c>
      <c r="D2478" s="4">
        <v>0</v>
      </c>
      <c r="E2478" t="s">
        <v>39</v>
      </c>
    </row>
    <row r="2479" spans="1:5" x14ac:dyDescent="0.25">
      <c r="A2479">
        <v>47</v>
      </c>
      <c r="B2479">
        <v>4</v>
      </c>
      <c r="C2479" t="s">
        <v>1741</v>
      </c>
      <c r="D2479" s="5">
        <v>0</v>
      </c>
      <c r="E2479" t="s">
        <v>1766</v>
      </c>
    </row>
    <row r="2480" spans="1:5" hidden="1" x14ac:dyDescent="0.25">
      <c r="A2480">
        <v>47</v>
      </c>
      <c r="B2480">
        <v>4</v>
      </c>
      <c r="C2480" t="s">
        <v>39</v>
      </c>
      <c r="D2480" s="4">
        <v>0</v>
      </c>
      <c r="E2480" t="s">
        <v>39</v>
      </c>
    </row>
    <row r="2481" spans="1:5" hidden="1" x14ac:dyDescent="0.25">
      <c r="A2481">
        <v>47</v>
      </c>
      <c r="B2481">
        <v>7</v>
      </c>
      <c r="C2481" t="s">
        <v>39</v>
      </c>
      <c r="D2481" s="4">
        <v>0</v>
      </c>
      <c r="E2481" t="s">
        <v>39</v>
      </c>
    </row>
    <row r="2482" spans="1:5" x14ac:dyDescent="0.25">
      <c r="A2482">
        <v>47</v>
      </c>
      <c r="B2482">
        <v>7</v>
      </c>
      <c r="C2482" t="s">
        <v>1742</v>
      </c>
      <c r="D2482" s="5">
        <v>0</v>
      </c>
      <c r="E2482" t="s">
        <v>1743</v>
      </c>
    </row>
    <row r="2483" spans="1:5" hidden="1" x14ac:dyDescent="0.25">
      <c r="A2483">
        <v>47</v>
      </c>
      <c r="B2483">
        <v>7</v>
      </c>
      <c r="C2483" t="s">
        <v>39</v>
      </c>
      <c r="D2483" s="4">
        <v>0</v>
      </c>
      <c r="E2483" t="s">
        <v>39</v>
      </c>
    </row>
    <row r="2484" spans="1:5" x14ac:dyDescent="0.25">
      <c r="A2484">
        <v>47</v>
      </c>
      <c r="B2484">
        <v>7</v>
      </c>
      <c r="C2484" t="s">
        <v>1744</v>
      </c>
      <c r="D2484" s="5">
        <v>0</v>
      </c>
      <c r="E2484" t="s">
        <v>2629</v>
      </c>
    </row>
    <row r="2485" spans="1:5" hidden="1" x14ac:dyDescent="0.25">
      <c r="A2485">
        <v>47</v>
      </c>
      <c r="B2485">
        <v>7</v>
      </c>
      <c r="C2485" t="s">
        <v>39</v>
      </c>
      <c r="D2485" s="4">
        <v>0</v>
      </c>
      <c r="E2485" t="s">
        <v>39</v>
      </c>
    </row>
    <row r="2486" spans="1:5" x14ac:dyDescent="0.25">
      <c r="A2486">
        <v>47</v>
      </c>
      <c r="B2486">
        <v>7</v>
      </c>
      <c r="C2486" t="s">
        <v>1745</v>
      </c>
      <c r="D2486" s="5">
        <v>0</v>
      </c>
      <c r="E2486" t="s">
        <v>1746</v>
      </c>
    </row>
    <row r="2487" spans="1:5" hidden="1" x14ac:dyDescent="0.25">
      <c r="A2487">
        <v>47</v>
      </c>
      <c r="B2487">
        <v>7</v>
      </c>
      <c r="C2487" t="s">
        <v>39</v>
      </c>
      <c r="D2487" s="4">
        <v>0</v>
      </c>
      <c r="E2487" t="s">
        <v>39</v>
      </c>
    </row>
    <row r="2488" spans="1:5" hidden="1" x14ac:dyDescent="0.25">
      <c r="A2488">
        <v>47</v>
      </c>
      <c r="B2488">
        <v>10</v>
      </c>
      <c r="C2488" t="s">
        <v>39</v>
      </c>
      <c r="D2488" s="4">
        <v>0</v>
      </c>
      <c r="E2488" t="s">
        <v>39</v>
      </c>
    </row>
    <row r="2489" spans="1:5" x14ac:dyDescent="0.25">
      <c r="A2489">
        <v>47</v>
      </c>
      <c r="B2489">
        <v>10</v>
      </c>
      <c r="C2489" t="s">
        <v>1747</v>
      </c>
      <c r="D2489" s="5">
        <v>0</v>
      </c>
      <c r="E2489" t="s">
        <v>1748</v>
      </c>
    </row>
    <row r="2490" spans="1:5" hidden="1" x14ac:dyDescent="0.25">
      <c r="A2490">
        <v>47</v>
      </c>
      <c r="B2490">
        <v>10</v>
      </c>
      <c r="C2490" t="s">
        <v>39</v>
      </c>
      <c r="D2490" s="4">
        <v>0</v>
      </c>
      <c r="E2490" t="s">
        <v>39</v>
      </c>
    </row>
    <row r="2491" spans="1:5" x14ac:dyDescent="0.25">
      <c r="A2491">
        <v>47</v>
      </c>
      <c r="B2491">
        <v>10</v>
      </c>
      <c r="C2491" t="s">
        <v>1749</v>
      </c>
      <c r="D2491" s="5">
        <v>30</v>
      </c>
      <c r="E2491" t="s">
        <v>1767</v>
      </c>
    </row>
    <row r="2492" spans="1:5" hidden="1" x14ac:dyDescent="0.25">
      <c r="A2492">
        <v>47</v>
      </c>
      <c r="B2492">
        <v>10</v>
      </c>
      <c r="C2492" t="s">
        <v>39</v>
      </c>
      <c r="D2492" s="4">
        <v>0</v>
      </c>
      <c r="E2492" t="s">
        <v>39</v>
      </c>
    </row>
    <row r="2493" spans="1:5" hidden="1" x14ac:dyDescent="0.25">
      <c r="A2493">
        <v>47</v>
      </c>
      <c r="B2493">
        <v>10</v>
      </c>
      <c r="C2493" t="s">
        <v>39</v>
      </c>
      <c r="D2493" s="4">
        <v>0</v>
      </c>
      <c r="E2493" t="s">
        <v>39</v>
      </c>
    </row>
    <row r="2494" spans="1:5" hidden="1" x14ac:dyDescent="0.25">
      <c r="A2494">
        <v>47</v>
      </c>
      <c r="B2494">
        <v>13</v>
      </c>
      <c r="C2494" t="s">
        <v>39</v>
      </c>
      <c r="D2494" s="4">
        <v>0</v>
      </c>
      <c r="E2494" t="s">
        <v>39</v>
      </c>
    </row>
    <row r="2495" spans="1:5" x14ac:dyDescent="0.25">
      <c r="A2495">
        <v>47</v>
      </c>
      <c r="B2495">
        <v>13</v>
      </c>
      <c r="C2495" t="s">
        <v>2630</v>
      </c>
      <c r="D2495" s="5">
        <v>0</v>
      </c>
      <c r="E2495" t="s">
        <v>1750</v>
      </c>
    </row>
    <row r="2496" spans="1:5" hidden="1" x14ac:dyDescent="0.25">
      <c r="A2496">
        <v>47</v>
      </c>
      <c r="B2496">
        <v>13</v>
      </c>
      <c r="C2496" t="s">
        <v>39</v>
      </c>
      <c r="D2496" s="4">
        <v>0</v>
      </c>
      <c r="E2496" t="s">
        <v>39</v>
      </c>
    </row>
    <row r="2497" spans="1:5" x14ac:dyDescent="0.25">
      <c r="A2497">
        <v>47</v>
      </c>
      <c r="B2497">
        <v>13</v>
      </c>
      <c r="C2497" t="s">
        <v>1751</v>
      </c>
      <c r="D2497" s="5">
        <v>0</v>
      </c>
      <c r="E2497" t="s">
        <v>1752</v>
      </c>
    </row>
    <row r="2498" spans="1:5" hidden="1" x14ac:dyDescent="0.25">
      <c r="A2498">
        <v>47</v>
      </c>
      <c r="B2498">
        <v>13</v>
      </c>
      <c r="C2498" t="s">
        <v>39</v>
      </c>
      <c r="D2498" s="4">
        <v>0</v>
      </c>
      <c r="E2498" t="s">
        <v>39</v>
      </c>
    </row>
    <row r="2499" spans="1:5" x14ac:dyDescent="0.25">
      <c r="A2499">
        <v>47</v>
      </c>
      <c r="B2499">
        <v>13</v>
      </c>
      <c r="C2499" t="s">
        <v>2631</v>
      </c>
      <c r="D2499" s="5">
        <v>0</v>
      </c>
      <c r="E2499" t="s">
        <v>2632</v>
      </c>
    </row>
    <row r="2500" spans="1:5" hidden="1" x14ac:dyDescent="0.25">
      <c r="A2500">
        <v>47</v>
      </c>
      <c r="B2500">
        <v>13</v>
      </c>
      <c r="C2500" t="s">
        <v>39</v>
      </c>
      <c r="D2500" s="4">
        <v>0</v>
      </c>
      <c r="E2500" t="s">
        <v>39</v>
      </c>
    </row>
    <row r="2501" spans="1:5" hidden="1" x14ac:dyDescent="0.25">
      <c r="A2501">
        <v>47</v>
      </c>
      <c r="B2501">
        <v>16</v>
      </c>
      <c r="C2501" t="s">
        <v>39</v>
      </c>
      <c r="D2501" s="4">
        <v>0</v>
      </c>
      <c r="E2501" t="s">
        <v>39</v>
      </c>
    </row>
    <row r="2502" spans="1:5" x14ac:dyDescent="0.25">
      <c r="A2502">
        <v>47</v>
      </c>
      <c r="B2502">
        <v>16</v>
      </c>
      <c r="C2502" t="s">
        <v>1753</v>
      </c>
      <c r="D2502" s="5">
        <v>0</v>
      </c>
      <c r="E2502" t="s">
        <v>1754</v>
      </c>
    </row>
    <row r="2503" spans="1:5" hidden="1" x14ac:dyDescent="0.25">
      <c r="A2503">
        <v>47</v>
      </c>
      <c r="B2503">
        <v>16</v>
      </c>
      <c r="C2503" t="s">
        <v>39</v>
      </c>
      <c r="D2503" s="4">
        <v>0</v>
      </c>
      <c r="E2503" t="s">
        <v>39</v>
      </c>
    </row>
    <row r="2504" spans="1:5" x14ac:dyDescent="0.25">
      <c r="A2504">
        <v>47</v>
      </c>
      <c r="B2504">
        <v>16</v>
      </c>
      <c r="C2504" t="s">
        <v>1755</v>
      </c>
      <c r="D2504" s="5">
        <v>0</v>
      </c>
      <c r="E2504" t="s">
        <v>1756</v>
      </c>
    </row>
    <row r="2505" spans="1:5" hidden="1" x14ac:dyDescent="0.25">
      <c r="A2505">
        <v>47</v>
      </c>
      <c r="B2505">
        <v>16</v>
      </c>
      <c r="C2505" t="s">
        <v>39</v>
      </c>
      <c r="D2505" s="4">
        <v>0</v>
      </c>
      <c r="E2505" t="s">
        <v>39</v>
      </c>
    </row>
    <row r="2506" spans="1:5" x14ac:dyDescent="0.25">
      <c r="A2506">
        <v>47</v>
      </c>
      <c r="B2506">
        <v>16</v>
      </c>
      <c r="C2506" t="s">
        <v>1757</v>
      </c>
      <c r="D2506" s="5">
        <v>0</v>
      </c>
      <c r="E2506" t="s">
        <v>2633</v>
      </c>
    </row>
    <row r="2507" spans="1:5" hidden="1" x14ac:dyDescent="0.25">
      <c r="A2507">
        <v>47</v>
      </c>
      <c r="B2507">
        <v>16</v>
      </c>
      <c r="C2507" t="s">
        <v>39</v>
      </c>
      <c r="D2507" s="4">
        <v>0</v>
      </c>
      <c r="E2507" t="s">
        <v>39</v>
      </c>
    </row>
    <row r="2508" spans="1:5" hidden="1" x14ac:dyDescent="0.25">
      <c r="A2508">
        <v>47</v>
      </c>
      <c r="B2508">
        <v>20</v>
      </c>
      <c r="C2508" t="s">
        <v>39</v>
      </c>
      <c r="D2508" s="4">
        <v>0</v>
      </c>
      <c r="E2508" t="s">
        <v>39</v>
      </c>
    </row>
    <row r="2509" spans="1:5" x14ac:dyDescent="0.25">
      <c r="A2509">
        <v>47</v>
      </c>
      <c r="B2509">
        <v>20</v>
      </c>
      <c r="C2509" t="s">
        <v>1758</v>
      </c>
      <c r="D2509" s="5">
        <v>0</v>
      </c>
      <c r="E2509" t="s">
        <v>1759</v>
      </c>
    </row>
    <row r="2510" spans="1:5" hidden="1" x14ac:dyDescent="0.25">
      <c r="A2510">
        <v>47</v>
      </c>
      <c r="B2510">
        <v>20</v>
      </c>
      <c r="C2510" t="s">
        <v>39</v>
      </c>
      <c r="D2510" s="4">
        <v>0</v>
      </c>
      <c r="E2510" t="s">
        <v>39</v>
      </c>
    </row>
    <row r="2511" spans="1:5" x14ac:dyDescent="0.25">
      <c r="A2511">
        <v>47</v>
      </c>
      <c r="B2511">
        <v>20</v>
      </c>
      <c r="C2511" t="s">
        <v>1760</v>
      </c>
      <c r="D2511" s="5">
        <v>0</v>
      </c>
      <c r="E2511" t="s">
        <v>1761</v>
      </c>
    </row>
    <row r="2512" spans="1:5" hidden="1" x14ac:dyDescent="0.25">
      <c r="A2512">
        <v>47</v>
      </c>
      <c r="B2512">
        <v>20</v>
      </c>
      <c r="C2512" t="s">
        <v>39</v>
      </c>
      <c r="D2512" s="4">
        <v>0</v>
      </c>
      <c r="E2512" t="s">
        <v>39</v>
      </c>
    </row>
    <row r="2513" spans="1:5" x14ac:dyDescent="0.25">
      <c r="A2513">
        <v>47</v>
      </c>
      <c r="B2513">
        <v>20</v>
      </c>
      <c r="C2513" t="s">
        <v>2634</v>
      </c>
      <c r="D2513" s="5">
        <v>0</v>
      </c>
      <c r="E2513" t="s">
        <v>1762</v>
      </c>
    </row>
    <row r="2514" spans="1:5" hidden="1" x14ac:dyDescent="0.25">
      <c r="A2514">
        <v>47</v>
      </c>
      <c r="B2514">
        <v>20</v>
      </c>
      <c r="C2514" t="s">
        <v>39</v>
      </c>
      <c r="D2514" s="4">
        <v>0</v>
      </c>
      <c r="E2514" t="s">
        <v>39</v>
      </c>
    </row>
    <row r="2515" spans="1:5" x14ac:dyDescent="0.25">
      <c r="A2515">
        <v>47</v>
      </c>
      <c r="B2515">
        <v>20</v>
      </c>
      <c r="C2515" t="s">
        <v>1763</v>
      </c>
      <c r="D2515" s="5">
        <v>0</v>
      </c>
      <c r="E2515" t="s">
        <v>2635</v>
      </c>
    </row>
    <row r="2516" spans="1:5" x14ac:dyDescent="0.25">
      <c r="A2516">
        <v>48</v>
      </c>
      <c r="B2516">
        <v>1</v>
      </c>
      <c r="C2516" t="s">
        <v>1768</v>
      </c>
      <c r="D2516" s="5">
        <v>0</v>
      </c>
      <c r="E2516" t="s">
        <v>1769</v>
      </c>
    </row>
    <row r="2517" spans="1:5" hidden="1" x14ac:dyDescent="0.25">
      <c r="A2517">
        <v>48</v>
      </c>
      <c r="B2517">
        <v>1</v>
      </c>
      <c r="C2517" t="s">
        <v>39</v>
      </c>
      <c r="D2517" s="4">
        <v>0</v>
      </c>
      <c r="E2517" t="s">
        <v>39</v>
      </c>
    </row>
    <row r="2518" spans="1:5" x14ac:dyDescent="0.25">
      <c r="A2518">
        <v>48</v>
      </c>
      <c r="B2518">
        <v>1</v>
      </c>
      <c r="C2518" t="s">
        <v>1770</v>
      </c>
      <c r="D2518" s="5">
        <v>0</v>
      </c>
      <c r="E2518" t="s">
        <v>2636</v>
      </c>
    </row>
    <row r="2519" spans="1:5" hidden="1" x14ac:dyDescent="0.25">
      <c r="A2519">
        <v>48</v>
      </c>
      <c r="B2519">
        <v>1</v>
      </c>
      <c r="C2519" t="s">
        <v>39</v>
      </c>
      <c r="D2519" s="4">
        <v>0</v>
      </c>
      <c r="E2519" t="s">
        <v>39</v>
      </c>
    </row>
    <row r="2520" spans="1:5" x14ac:dyDescent="0.25">
      <c r="A2520">
        <v>48</v>
      </c>
      <c r="B2520">
        <v>1</v>
      </c>
      <c r="C2520" t="s">
        <v>1771</v>
      </c>
      <c r="D2520" s="5">
        <v>0</v>
      </c>
      <c r="E2520" t="s">
        <v>2637</v>
      </c>
    </row>
    <row r="2521" spans="1:5" hidden="1" x14ac:dyDescent="0.25">
      <c r="A2521">
        <v>48</v>
      </c>
      <c r="B2521">
        <v>1</v>
      </c>
      <c r="C2521" t="s">
        <v>39</v>
      </c>
      <c r="D2521" s="4">
        <v>0</v>
      </c>
      <c r="E2521" t="s">
        <v>39</v>
      </c>
    </row>
    <row r="2522" spans="1:5" x14ac:dyDescent="0.25">
      <c r="A2522">
        <v>48</v>
      </c>
      <c r="B2522">
        <v>1</v>
      </c>
      <c r="C2522" t="s">
        <v>51</v>
      </c>
      <c r="D2522" s="5">
        <v>0</v>
      </c>
      <c r="E2522" t="s">
        <v>1772</v>
      </c>
    </row>
    <row r="2523" spans="1:5" hidden="1" x14ac:dyDescent="0.25">
      <c r="A2523">
        <v>48</v>
      </c>
      <c r="B2523">
        <v>1</v>
      </c>
      <c r="C2523" t="s">
        <v>39</v>
      </c>
      <c r="D2523" s="4">
        <v>0</v>
      </c>
      <c r="E2523" t="s">
        <v>39</v>
      </c>
    </row>
    <row r="2524" spans="1:5" hidden="1" x14ac:dyDescent="0.25">
      <c r="A2524">
        <v>48</v>
      </c>
      <c r="B2524">
        <v>4</v>
      </c>
      <c r="C2524" t="s">
        <v>39</v>
      </c>
      <c r="D2524" s="4">
        <v>0</v>
      </c>
      <c r="E2524" t="s">
        <v>39</v>
      </c>
    </row>
    <row r="2525" spans="1:5" x14ac:dyDescent="0.25">
      <c r="A2525">
        <v>48</v>
      </c>
      <c r="B2525">
        <v>4</v>
      </c>
      <c r="C2525" t="s">
        <v>1773</v>
      </c>
      <c r="D2525" s="5">
        <v>0</v>
      </c>
      <c r="E2525" t="s">
        <v>2638</v>
      </c>
    </row>
    <row r="2526" spans="1:5" hidden="1" x14ac:dyDescent="0.25">
      <c r="A2526">
        <v>48</v>
      </c>
      <c r="B2526">
        <v>4</v>
      </c>
      <c r="C2526" t="s">
        <v>39</v>
      </c>
      <c r="D2526" s="4">
        <v>0</v>
      </c>
      <c r="E2526" t="s">
        <v>39</v>
      </c>
    </row>
    <row r="2527" spans="1:5" x14ac:dyDescent="0.25">
      <c r="A2527">
        <v>48</v>
      </c>
      <c r="B2527">
        <v>4</v>
      </c>
      <c r="C2527" t="s">
        <v>1774</v>
      </c>
      <c r="D2527" s="5">
        <v>0</v>
      </c>
      <c r="E2527" t="s">
        <v>2639</v>
      </c>
    </row>
    <row r="2528" spans="1:5" hidden="1" x14ac:dyDescent="0.25">
      <c r="A2528">
        <v>48</v>
      </c>
      <c r="B2528">
        <v>4</v>
      </c>
      <c r="C2528" t="s">
        <v>39</v>
      </c>
      <c r="D2528" s="4">
        <v>0</v>
      </c>
      <c r="E2528" t="s">
        <v>39</v>
      </c>
    </row>
    <row r="2529" spans="1:5" x14ac:dyDescent="0.25">
      <c r="A2529">
        <v>48</v>
      </c>
      <c r="B2529">
        <v>4</v>
      </c>
      <c r="C2529" t="s">
        <v>791</v>
      </c>
      <c r="D2529" s="5">
        <v>0</v>
      </c>
      <c r="E2529" t="s">
        <v>792</v>
      </c>
    </row>
    <row r="2530" spans="1:5" hidden="1" x14ac:dyDescent="0.25">
      <c r="A2530">
        <v>48</v>
      </c>
      <c r="B2530">
        <v>4</v>
      </c>
      <c r="C2530" t="s">
        <v>39</v>
      </c>
      <c r="D2530" s="4">
        <v>0</v>
      </c>
      <c r="E2530" t="s">
        <v>39</v>
      </c>
    </row>
    <row r="2531" spans="1:5" x14ac:dyDescent="0.25">
      <c r="A2531">
        <v>48</v>
      </c>
      <c r="B2531">
        <v>4</v>
      </c>
      <c r="C2531" t="s">
        <v>1775</v>
      </c>
      <c r="D2531" s="5">
        <v>0</v>
      </c>
      <c r="E2531" t="s">
        <v>1776</v>
      </c>
    </row>
    <row r="2532" spans="1:5" hidden="1" x14ac:dyDescent="0.25">
      <c r="A2532">
        <v>48</v>
      </c>
      <c r="B2532">
        <v>4</v>
      </c>
      <c r="C2532" t="s">
        <v>39</v>
      </c>
      <c r="D2532" s="4">
        <v>0</v>
      </c>
      <c r="E2532" t="s">
        <v>39</v>
      </c>
    </row>
    <row r="2533" spans="1:5" hidden="1" x14ac:dyDescent="0.25">
      <c r="A2533">
        <v>48</v>
      </c>
      <c r="B2533">
        <v>7</v>
      </c>
      <c r="C2533" t="s">
        <v>39</v>
      </c>
      <c r="D2533" s="4">
        <v>0</v>
      </c>
      <c r="E2533" t="s">
        <v>39</v>
      </c>
    </row>
    <row r="2534" spans="1:5" x14ac:dyDescent="0.25">
      <c r="A2534">
        <v>48</v>
      </c>
      <c r="B2534">
        <v>7</v>
      </c>
      <c r="C2534" t="s">
        <v>2640</v>
      </c>
      <c r="D2534" s="5">
        <v>0</v>
      </c>
      <c r="E2534" t="s">
        <v>2641</v>
      </c>
    </row>
    <row r="2535" spans="1:5" hidden="1" x14ac:dyDescent="0.25">
      <c r="A2535">
        <v>48</v>
      </c>
      <c r="B2535">
        <v>7</v>
      </c>
      <c r="C2535" t="s">
        <v>39</v>
      </c>
      <c r="D2535" s="4">
        <v>0</v>
      </c>
      <c r="E2535" t="s">
        <v>39</v>
      </c>
    </row>
    <row r="2536" spans="1:5" x14ac:dyDescent="0.25">
      <c r="A2536">
        <v>48</v>
      </c>
      <c r="B2536">
        <v>7</v>
      </c>
      <c r="C2536" t="s">
        <v>1777</v>
      </c>
      <c r="D2536" s="5">
        <v>0</v>
      </c>
      <c r="E2536" t="s">
        <v>1778</v>
      </c>
    </row>
    <row r="2537" spans="1:5" hidden="1" x14ac:dyDescent="0.25">
      <c r="A2537">
        <v>48</v>
      </c>
      <c r="B2537">
        <v>7</v>
      </c>
      <c r="C2537" t="s">
        <v>39</v>
      </c>
      <c r="D2537" s="4">
        <v>0</v>
      </c>
      <c r="E2537" t="s">
        <v>39</v>
      </c>
    </row>
    <row r="2538" spans="1:5" x14ac:dyDescent="0.25">
      <c r="A2538">
        <v>48</v>
      </c>
      <c r="B2538">
        <v>7</v>
      </c>
      <c r="C2538" t="s">
        <v>1779</v>
      </c>
      <c r="D2538" s="5">
        <v>0</v>
      </c>
      <c r="E2538" t="s">
        <v>1780</v>
      </c>
    </row>
    <row r="2539" spans="1:5" hidden="1" x14ac:dyDescent="0.25">
      <c r="A2539">
        <v>48</v>
      </c>
      <c r="B2539">
        <v>7</v>
      </c>
      <c r="C2539" t="s">
        <v>39</v>
      </c>
      <c r="D2539" s="4">
        <v>0</v>
      </c>
      <c r="E2539" t="s">
        <v>39</v>
      </c>
    </row>
    <row r="2540" spans="1:5" x14ac:dyDescent="0.25">
      <c r="A2540">
        <v>48</v>
      </c>
      <c r="B2540">
        <v>7</v>
      </c>
      <c r="C2540" t="s">
        <v>1781</v>
      </c>
      <c r="D2540" s="5">
        <v>0</v>
      </c>
      <c r="E2540" t="s">
        <v>1782</v>
      </c>
    </row>
    <row r="2541" spans="1:5" hidden="1" x14ac:dyDescent="0.25">
      <c r="A2541">
        <v>48</v>
      </c>
      <c r="B2541">
        <v>7</v>
      </c>
      <c r="C2541" t="s">
        <v>39</v>
      </c>
      <c r="D2541" s="4">
        <v>0</v>
      </c>
      <c r="E2541" t="s">
        <v>39</v>
      </c>
    </row>
    <row r="2542" spans="1:5" hidden="1" x14ac:dyDescent="0.25">
      <c r="A2542">
        <v>48</v>
      </c>
      <c r="B2542">
        <v>10</v>
      </c>
      <c r="C2542" t="s">
        <v>39</v>
      </c>
      <c r="D2542" s="4">
        <v>0</v>
      </c>
      <c r="E2542" t="s">
        <v>39</v>
      </c>
    </row>
    <row r="2543" spans="1:5" x14ac:dyDescent="0.25">
      <c r="A2543">
        <v>48</v>
      </c>
      <c r="B2543">
        <v>10</v>
      </c>
      <c r="C2543" t="s">
        <v>1783</v>
      </c>
      <c r="D2543" s="5">
        <v>0</v>
      </c>
      <c r="E2543" t="s">
        <v>1784</v>
      </c>
    </row>
    <row r="2544" spans="1:5" hidden="1" x14ac:dyDescent="0.25">
      <c r="A2544">
        <v>48</v>
      </c>
      <c r="B2544">
        <v>10</v>
      </c>
      <c r="C2544" t="s">
        <v>39</v>
      </c>
      <c r="D2544" s="4">
        <v>0</v>
      </c>
      <c r="E2544" t="s">
        <v>39</v>
      </c>
    </row>
    <row r="2545" spans="1:5" x14ac:dyDescent="0.25">
      <c r="A2545">
        <v>48</v>
      </c>
      <c r="B2545">
        <v>10</v>
      </c>
      <c r="C2545" t="s">
        <v>1785</v>
      </c>
      <c r="D2545" s="5">
        <v>0</v>
      </c>
      <c r="E2545" t="s">
        <v>1786</v>
      </c>
    </row>
    <row r="2546" spans="1:5" hidden="1" x14ac:dyDescent="0.25">
      <c r="A2546">
        <v>48</v>
      </c>
      <c r="B2546">
        <v>10</v>
      </c>
      <c r="C2546" t="s">
        <v>39</v>
      </c>
      <c r="D2546" s="4">
        <v>0</v>
      </c>
      <c r="E2546" t="s">
        <v>39</v>
      </c>
    </row>
    <row r="2547" spans="1:5" hidden="1" x14ac:dyDescent="0.25">
      <c r="A2547">
        <v>48</v>
      </c>
      <c r="B2547">
        <v>13</v>
      </c>
      <c r="C2547" t="s">
        <v>39</v>
      </c>
      <c r="D2547" s="4">
        <v>0</v>
      </c>
      <c r="E2547" t="s">
        <v>39</v>
      </c>
    </row>
    <row r="2548" spans="1:5" x14ac:dyDescent="0.25">
      <c r="A2548">
        <v>48</v>
      </c>
      <c r="B2548">
        <v>13</v>
      </c>
      <c r="C2548" t="s">
        <v>66</v>
      </c>
      <c r="D2548" s="5">
        <v>0</v>
      </c>
      <c r="E2548" t="s">
        <v>67</v>
      </c>
    </row>
    <row r="2549" spans="1:5" hidden="1" x14ac:dyDescent="0.25">
      <c r="A2549">
        <v>48</v>
      </c>
      <c r="B2549">
        <v>13</v>
      </c>
      <c r="C2549" t="s">
        <v>39</v>
      </c>
      <c r="D2549" s="4">
        <v>0</v>
      </c>
      <c r="E2549" t="s">
        <v>39</v>
      </c>
    </row>
    <row r="2550" spans="1:5" x14ac:dyDescent="0.25">
      <c r="A2550">
        <v>48</v>
      </c>
      <c r="B2550">
        <v>13</v>
      </c>
      <c r="C2550" t="s">
        <v>1787</v>
      </c>
      <c r="D2550" s="5">
        <v>0</v>
      </c>
      <c r="E2550" t="s">
        <v>1788</v>
      </c>
    </row>
    <row r="2551" spans="1:5" hidden="1" x14ac:dyDescent="0.25">
      <c r="A2551">
        <v>48</v>
      </c>
      <c r="B2551">
        <v>13</v>
      </c>
      <c r="C2551" t="s">
        <v>39</v>
      </c>
      <c r="D2551" s="4">
        <v>0</v>
      </c>
      <c r="E2551" t="s">
        <v>39</v>
      </c>
    </row>
    <row r="2552" spans="1:5" x14ac:dyDescent="0.25">
      <c r="A2552">
        <v>48</v>
      </c>
      <c r="B2552">
        <v>13</v>
      </c>
      <c r="C2552" t="s">
        <v>1789</v>
      </c>
      <c r="D2552" s="5">
        <v>0</v>
      </c>
      <c r="E2552" t="s">
        <v>1790</v>
      </c>
    </row>
    <row r="2553" spans="1:5" hidden="1" x14ac:dyDescent="0.25">
      <c r="A2553">
        <v>48</v>
      </c>
      <c r="B2553">
        <v>13</v>
      </c>
      <c r="C2553" t="s">
        <v>39</v>
      </c>
      <c r="D2553" s="4">
        <v>0</v>
      </c>
      <c r="E2553" t="s">
        <v>39</v>
      </c>
    </row>
    <row r="2554" spans="1:5" x14ac:dyDescent="0.25">
      <c r="A2554">
        <v>48</v>
      </c>
      <c r="B2554">
        <v>13</v>
      </c>
      <c r="C2554" t="s">
        <v>1791</v>
      </c>
      <c r="D2554" s="5">
        <v>0</v>
      </c>
      <c r="E2554" t="s">
        <v>1792</v>
      </c>
    </row>
    <row r="2555" spans="1:5" hidden="1" x14ac:dyDescent="0.25">
      <c r="A2555">
        <v>48</v>
      </c>
      <c r="B2555">
        <v>13</v>
      </c>
      <c r="C2555" t="s">
        <v>39</v>
      </c>
      <c r="D2555" s="4">
        <v>0</v>
      </c>
      <c r="E2555" t="s">
        <v>39</v>
      </c>
    </row>
    <row r="2556" spans="1:5" hidden="1" x14ac:dyDescent="0.25">
      <c r="A2556">
        <v>48</v>
      </c>
      <c r="B2556">
        <v>16</v>
      </c>
      <c r="C2556" t="s">
        <v>39</v>
      </c>
      <c r="D2556" s="4">
        <v>0</v>
      </c>
      <c r="E2556" t="s">
        <v>39</v>
      </c>
    </row>
    <row r="2557" spans="1:5" x14ac:dyDescent="0.25">
      <c r="A2557">
        <v>48</v>
      </c>
      <c r="B2557">
        <v>16</v>
      </c>
      <c r="C2557" t="s">
        <v>1793</v>
      </c>
      <c r="D2557" s="5">
        <v>0</v>
      </c>
      <c r="E2557" t="s">
        <v>2642</v>
      </c>
    </row>
    <row r="2558" spans="1:5" hidden="1" x14ac:dyDescent="0.25">
      <c r="A2558">
        <v>48</v>
      </c>
      <c r="B2558">
        <v>16</v>
      </c>
      <c r="C2558" t="s">
        <v>39</v>
      </c>
      <c r="D2558" s="4">
        <v>0</v>
      </c>
      <c r="E2558" t="s">
        <v>39</v>
      </c>
    </row>
    <row r="2559" spans="1:5" x14ac:dyDescent="0.25">
      <c r="A2559">
        <v>48</v>
      </c>
      <c r="B2559">
        <v>16</v>
      </c>
      <c r="C2559" t="s">
        <v>1794</v>
      </c>
      <c r="D2559" s="5">
        <v>0</v>
      </c>
      <c r="E2559" t="s">
        <v>2643</v>
      </c>
    </row>
    <row r="2560" spans="1:5" hidden="1" x14ac:dyDescent="0.25">
      <c r="A2560">
        <v>48</v>
      </c>
      <c r="B2560">
        <v>16</v>
      </c>
      <c r="C2560" t="s">
        <v>39</v>
      </c>
      <c r="D2560" s="4">
        <v>0</v>
      </c>
      <c r="E2560" t="s">
        <v>39</v>
      </c>
    </row>
    <row r="2561" spans="1:5" x14ac:dyDescent="0.25">
      <c r="A2561">
        <v>48</v>
      </c>
      <c r="B2561">
        <v>16</v>
      </c>
      <c r="C2561" t="s">
        <v>1795</v>
      </c>
      <c r="D2561" s="5">
        <v>0</v>
      </c>
      <c r="E2561" t="s">
        <v>2644</v>
      </c>
    </row>
    <row r="2562" spans="1:5" hidden="1" x14ac:dyDescent="0.25">
      <c r="A2562">
        <v>48</v>
      </c>
      <c r="B2562">
        <v>16</v>
      </c>
      <c r="C2562" t="s">
        <v>39</v>
      </c>
      <c r="D2562" s="4">
        <v>0</v>
      </c>
      <c r="E2562" t="s">
        <v>39</v>
      </c>
    </row>
    <row r="2563" spans="1:5" x14ac:dyDescent="0.25">
      <c r="A2563">
        <v>48</v>
      </c>
      <c r="B2563">
        <v>16</v>
      </c>
      <c r="C2563" t="s">
        <v>75</v>
      </c>
      <c r="D2563" s="5">
        <v>0</v>
      </c>
      <c r="E2563" t="s">
        <v>2404</v>
      </c>
    </row>
    <row r="2564" spans="1:5" hidden="1" x14ac:dyDescent="0.25">
      <c r="A2564">
        <v>48</v>
      </c>
      <c r="B2564">
        <v>16</v>
      </c>
      <c r="C2564" t="s">
        <v>39</v>
      </c>
      <c r="D2564" s="4">
        <v>0</v>
      </c>
      <c r="E2564" t="s">
        <v>39</v>
      </c>
    </row>
    <row r="2565" spans="1:5" hidden="1" x14ac:dyDescent="0.25">
      <c r="A2565">
        <v>48</v>
      </c>
      <c r="B2565">
        <v>20</v>
      </c>
      <c r="C2565" t="s">
        <v>39</v>
      </c>
      <c r="D2565" s="4">
        <v>0</v>
      </c>
      <c r="E2565" t="s">
        <v>39</v>
      </c>
    </row>
    <row r="2566" spans="1:5" x14ac:dyDescent="0.25">
      <c r="A2566">
        <v>48</v>
      </c>
      <c r="B2566">
        <v>20</v>
      </c>
      <c r="C2566" t="s">
        <v>1796</v>
      </c>
      <c r="D2566" s="5">
        <v>0</v>
      </c>
      <c r="E2566" t="s">
        <v>1797</v>
      </c>
    </row>
    <row r="2567" spans="1:5" hidden="1" x14ac:dyDescent="0.25">
      <c r="A2567">
        <v>48</v>
      </c>
      <c r="B2567">
        <v>20</v>
      </c>
      <c r="C2567" t="s">
        <v>39</v>
      </c>
      <c r="D2567" s="4">
        <v>0</v>
      </c>
      <c r="E2567" t="s">
        <v>39</v>
      </c>
    </row>
    <row r="2568" spans="1:5" x14ac:dyDescent="0.25">
      <c r="A2568">
        <v>48</v>
      </c>
      <c r="B2568">
        <v>20</v>
      </c>
      <c r="C2568" t="s">
        <v>1798</v>
      </c>
      <c r="D2568" s="5">
        <v>0</v>
      </c>
      <c r="E2568" t="s">
        <v>1799</v>
      </c>
    </row>
    <row r="2569" spans="1:5" hidden="1" x14ac:dyDescent="0.25">
      <c r="A2569">
        <v>48</v>
      </c>
      <c r="B2569">
        <v>20</v>
      </c>
      <c r="C2569" t="s">
        <v>39</v>
      </c>
      <c r="D2569" s="4">
        <v>0</v>
      </c>
      <c r="E2569" t="s">
        <v>39</v>
      </c>
    </row>
    <row r="2570" spans="1:5" x14ac:dyDescent="0.25">
      <c r="A2570">
        <v>48</v>
      </c>
      <c r="B2570">
        <v>20</v>
      </c>
      <c r="C2570" t="s">
        <v>78</v>
      </c>
      <c r="D2570" s="5">
        <v>0</v>
      </c>
      <c r="E2570" t="s">
        <v>79</v>
      </c>
    </row>
    <row r="2571" spans="1:5" hidden="1" x14ac:dyDescent="0.25">
      <c r="A2571">
        <v>48</v>
      </c>
      <c r="B2571">
        <v>20</v>
      </c>
      <c r="C2571" t="s">
        <v>39</v>
      </c>
      <c r="D2571" s="4">
        <v>0</v>
      </c>
      <c r="E2571" t="s">
        <v>39</v>
      </c>
    </row>
    <row r="2572" spans="1:5" x14ac:dyDescent="0.25">
      <c r="A2572">
        <v>48</v>
      </c>
      <c r="B2572">
        <v>20</v>
      </c>
      <c r="C2572" t="s">
        <v>120</v>
      </c>
      <c r="D2572" s="5">
        <v>0</v>
      </c>
      <c r="E2572" t="s">
        <v>121</v>
      </c>
    </row>
    <row r="2573" spans="1:5" x14ac:dyDescent="0.25">
      <c r="A2573">
        <v>49</v>
      </c>
      <c r="B2573">
        <v>1</v>
      </c>
      <c r="C2573" t="s">
        <v>1800</v>
      </c>
      <c r="D2573" s="5">
        <v>0</v>
      </c>
      <c r="E2573" t="s">
        <v>1801</v>
      </c>
    </row>
    <row r="2574" spans="1:5" hidden="1" x14ac:dyDescent="0.25">
      <c r="A2574">
        <v>49</v>
      </c>
      <c r="B2574">
        <v>1</v>
      </c>
      <c r="C2574" t="s">
        <v>39</v>
      </c>
      <c r="D2574" s="4">
        <v>0</v>
      </c>
      <c r="E2574" t="s">
        <v>39</v>
      </c>
    </row>
    <row r="2575" spans="1:5" x14ac:dyDescent="0.25">
      <c r="A2575">
        <v>49</v>
      </c>
      <c r="B2575">
        <v>1</v>
      </c>
      <c r="C2575" t="s">
        <v>2645</v>
      </c>
      <c r="D2575" s="5">
        <v>0</v>
      </c>
      <c r="E2575" t="s">
        <v>2646</v>
      </c>
    </row>
    <row r="2576" spans="1:5" hidden="1" x14ac:dyDescent="0.25">
      <c r="A2576">
        <v>49</v>
      </c>
      <c r="B2576">
        <v>1</v>
      </c>
      <c r="C2576" t="s">
        <v>39</v>
      </c>
      <c r="D2576" s="4">
        <v>0</v>
      </c>
      <c r="E2576" t="s">
        <v>39</v>
      </c>
    </row>
    <row r="2577" spans="1:5" x14ac:dyDescent="0.25">
      <c r="A2577">
        <v>49</v>
      </c>
      <c r="B2577">
        <v>1</v>
      </c>
      <c r="C2577" t="s">
        <v>86</v>
      </c>
      <c r="D2577" s="5">
        <v>0</v>
      </c>
      <c r="E2577" t="s">
        <v>87</v>
      </c>
    </row>
    <row r="2578" spans="1:5" hidden="1" x14ac:dyDescent="0.25">
      <c r="A2578">
        <v>49</v>
      </c>
      <c r="B2578">
        <v>1</v>
      </c>
      <c r="C2578" t="s">
        <v>39</v>
      </c>
      <c r="D2578" s="4">
        <v>0</v>
      </c>
      <c r="E2578" t="s">
        <v>39</v>
      </c>
    </row>
    <row r="2579" spans="1:5" x14ac:dyDescent="0.25">
      <c r="A2579">
        <v>49</v>
      </c>
      <c r="B2579">
        <v>1</v>
      </c>
      <c r="C2579" t="s">
        <v>1802</v>
      </c>
      <c r="D2579" s="5">
        <v>0</v>
      </c>
      <c r="E2579" t="s">
        <v>1803</v>
      </c>
    </row>
    <row r="2580" spans="1:5" hidden="1" x14ac:dyDescent="0.25">
      <c r="A2580">
        <v>49</v>
      </c>
      <c r="B2580">
        <v>1</v>
      </c>
      <c r="C2580" t="s">
        <v>39</v>
      </c>
      <c r="D2580" s="4">
        <v>0</v>
      </c>
      <c r="E2580" t="s">
        <v>39</v>
      </c>
    </row>
    <row r="2581" spans="1:5" hidden="1" x14ac:dyDescent="0.25">
      <c r="A2581">
        <v>49</v>
      </c>
      <c r="B2581">
        <v>4</v>
      </c>
      <c r="C2581" t="s">
        <v>39</v>
      </c>
      <c r="D2581" s="4">
        <v>0</v>
      </c>
      <c r="E2581" t="s">
        <v>39</v>
      </c>
    </row>
    <row r="2582" spans="1:5" x14ac:dyDescent="0.25">
      <c r="A2582">
        <v>49</v>
      </c>
      <c r="B2582">
        <v>4</v>
      </c>
      <c r="C2582" t="s">
        <v>1804</v>
      </c>
      <c r="D2582" s="5">
        <v>0</v>
      </c>
      <c r="E2582" t="s">
        <v>1805</v>
      </c>
    </row>
    <row r="2583" spans="1:5" hidden="1" x14ac:dyDescent="0.25">
      <c r="A2583">
        <v>49</v>
      </c>
      <c r="B2583">
        <v>4</v>
      </c>
      <c r="C2583" t="s">
        <v>39</v>
      </c>
      <c r="D2583" s="4">
        <v>0</v>
      </c>
      <c r="E2583" t="s">
        <v>39</v>
      </c>
    </row>
    <row r="2584" spans="1:5" x14ac:dyDescent="0.25">
      <c r="A2584">
        <v>49</v>
      </c>
      <c r="B2584">
        <v>4</v>
      </c>
      <c r="C2584" t="s">
        <v>1389</v>
      </c>
      <c r="D2584" s="5">
        <v>0</v>
      </c>
      <c r="E2584" t="s">
        <v>1500</v>
      </c>
    </row>
    <row r="2585" spans="1:5" hidden="1" x14ac:dyDescent="0.25">
      <c r="A2585">
        <v>49</v>
      </c>
      <c r="B2585">
        <v>4</v>
      </c>
      <c r="C2585" t="s">
        <v>39</v>
      </c>
      <c r="D2585" s="4">
        <v>0</v>
      </c>
      <c r="E2585" t="s">
        <v>39</v>
      </c>
    </row>
    <row r="2586" spans="1:5" x14ac:dyDescent="0.25">
      <c r="A2586">
        <v>49</v>
      </c>
      <c r="B2586">
        <v>4</v>
      </c>
      <c r="C2586" t="s">
        <v>1806</v>
      </c>
      <c r="D2586" s="5">
        <v>0</v>
      </c>
      <c r="E2586" t="s">
        <v>1807</v>
      </c>
    </row>
    <row r="2587" spans="1:5" hidden="1" x14ac:dyDescent="0.25">
      <c r="A2587">
        <v>49</v>
      </c>
      <c r="B2587">
        <v>4</v>
      </c>
      <c r="C2587" t="s">
        <v>39</v>
      </c>
      <c r="D2587" s="4">
        <v>0</v>
      </c>
      <c r="E2587" t="s">
        <v>39</v>
      </c>
    </row>
    <row r="2588" spans="1:5" x14ac:dyDescent="0.25">
      <c r="A2588">
        <v>49</v>
      </c>
      <c r="B2588">
        <v>4</v>
      </c>
      <c r="C2588" t="s">
        <v>980</v>
      </c>
      <c r="D2588" s="5">
        <v>0</v>
      </c>
      <c r="E2588" t="s">
        <v>981</v>
      </c>
    </row>
    <row r="2589" spans="1:5" hidden="1" x14ac:dyDescent="0.25">
      <c r="A2589">
        <v>49</v>
      </c>
      <c r="B2589">
        <v>4</v>
      </c>
      <c r="C2589" t="s">
        <v>39</v>
      </c>
      <c r="D2589" s="4">
        <v>0</v>
      </c>
      <c r="E2589" t="s">
        <v>39</v>
      </c>
    </row>
    <row r="2590" spans="1:5" x14ac:dyDescent="0.25">
      <c r="A2590">
        <v>49</v>
      </c>
      <c r="B2590">
        <v>4</v>
      </c>
      <c r="C2590" t="s">
        <v>1808</v>
      </c>
      <c r="D2590" s="5">
        <v>0</v>
      </c>
      <c r="E2590" t="s">
        <v>1809</v>
      </c>
    </row>
    <row r="2591" spans="1:5" hidden="1" x14ac:dyDescent="0.25">
      <c r="A2591">
        <v>49</v>
      </c>
      <c r="B2591">
        <v>4</v>
      </c>
      <c r="C2591" t="s">
        <v>39</v>
      </c>
      <c r="D2591" s="4">
        <v>0</v>
      </c>
      <c r="E2591" t="s">
        <v>39</v>
      </c>
    </row>
    <row r="2592" spans="1:5" hidden="1" x14ac:dyDescent="0.25">
      <c r="A2592">
        <v>49</v>
      </c>
      <c r="B2592">
        <v>7</v>
      </c>
      <c r="C2592" t="s">
        <v>39</v>
      </c>
      <c r="D2592" s="4">
        <v>0</v>
      </c>
      <c r="E2592" t="s">
        <v>39</v>
      </c>
    </row>
    <row r="2593" spans="1:5" x14ac:dyDescent="0.25">
      <c r="A2593">
        <v>49</v>
      </c>
      <c r="B2593">
        <v>7</v>
      </c>
      <c r="C2593" t="s">
        <v>1810</v>
      </c>
      <c r="D2593" s="5">
        <v>0</v>
      </c>
      <c r="E2593" t="s">
        <v>1811</v>
      </c>
    </row>
    <row r="2594" spans="1:5" hidden="1" x14ac:dyDescent="0.25">
      <c r="A2594">
        <v>49</v>
      </c>
      <c r="B2594">
        <v>7</v>
      </c>
      <c r="C2594" t="s">
        <v>39</v>
      </c>
      <c r="D2594" s="4">
        <v>0</v>
      </c>
      <c r="E2594" t="s">
        <v>39</v>
      </c>
    </row>
    <row r="2595" spans="1:5" x14ac:dyDescent="0.25">
      <c r="A2595">
        <v>49</v>
      </c>
      <c r="B2595">
        <v>7</v>
      </c>
      <c r="C2595" t="s">
        <v>1812</v>
      </c>
      <c r="D2595" s="5">
        <v>0</v>
      </c>
      <c r="E2595" t="s">
        <v>1813</v>
      </c>
    </row>
    <row r="2596" spans="1:5" hidden="1" x14ac:dyDescent="0.25">
      <c r="A2596">
        <v>49</v>
      </c>
      <c r="B2596">
        <v>7</v>
      </c>
      <c r="C2596" t="s">
        <v>39</v>
      </c>
      <c r="D2596" s="4">
        <v>0</v>
      </c>
      <c r="E2596" t="s">
        <v>39</v>
      </c>
    </row>
    <row r="2597" spans="1:5" x14ac:dyDescent="0.25">
      <c r="A2597">
        <v>49</v>
      </c>
      <c r="B2597">
        <v>7</v>
      </c>
      <c r="C2597" t="s">
        <v>1814</v>
      </c>
      <c r="D2597" s="5">
        <v>0</v>
      </c>
      <c r="E2597" t="s">
        <v>1250</v>
      </c>
    </row>
    <row r="2598" spans="1:5" hidden="1" x14ac:dyDescent="0.25">
      <c r="A2598">
        <v>49</v>
      </c>
      <c r="B2598">
        <v>7</v>
      </c>
      <c r="C2598" t="s">
        <v>39</v>
      </c>
      <c r="D2598" s="4">
        <v>0</v>
      </c>
      <c r="E2598" t="s">
        <v>39</v>
      </c>
    </row>
    <row r="2599" spans="1:5" x14ac:dyDescent="0.25">
      <c r="A2599">
        <v>49</v>
      </c>
      <c r="B2599">
        <v>7</v>
      </c>
      <c r="C2599" t="s">
        <v>15</v>
      </c>
      <c r="D2599" s="5">
        <v>0</v>
      </c>
      <c r="E2599" t="s">
        <v>16</v>
      </c>
    </row>
    <row r="2600" spans="1:5" hidden="1" x14ac:dyDescent="0.25">
      <c r="A2600">
        <v>49</v>
      </c>
      <c r="B2600">
        <v>7</v>
      </c>
      <c r="C2600" t="s">
        <v>39</v>
      </c>
      <c r="D2600" s="4">
        <v>0</v>
      </c>
      <c r="E2600" t="s">
        <v>39</v>
      </c>
    </row>
    <row r="2601" spans="1:5" hidden="1" x14ac:dyDescent="0.25">
      <c r="A2601">
        <v>49</v>
      </c>
      <c r="B2601">
        <v>10</v>
      </c>
      <c r="C2601" t="s">
        <v>39</v>
      </c>
      <c r="D2601" s="4">
        <v>0</v>
      </c>
      <c r="E2601" t="s">
        <v>39</v>
      </c>
    </row>
    <row r="2602" spans="1:5" x14ac:dyDescent="0.25">
      <c r="A2602">
        <v>49</v>
      </c>
      <c r="B2602">
        <v>10</v>
      </c>
      <c r="C2602" t="s">
        <v>1815</v>
      </c>
      <c r="D2602" s="5">
        <v>0</v>
      </c>
      <c r="E2602" t="s">
        <v>1816</v>
      </c>
    </row>
    <row r="2603" spans="1:5" hidden="1" x14ac:dyDescent="0.25">
      <c r="A2603">
        <v>49</v>
      </c>
      <c r="B2603">
        <v>10</v>
      </c>
      <c r="C2603" t="s">
        <v>39</v>
      </c>
      <c r="D2603" s="4">
        <v>0</v>
      </c>
      <c r="E2603" t="s">
        <v>39</v>
      </c>
    </row>
    <row r="2604" spans="1:5" x14ac:dyDescent="0.25">
      <c r="A2604">
        <v>49</v>
      </c>
      <c r="B2604">
        <v>10</v>
      </c>
      <c r="C2604" t="s">
        <v>1817</v>
      </c>
      <c r="D2604" s="5">
        <v>0</v>
      </c>
      <c r="E2604" t="s">
        <v>1818</v>
      </c>
    </row>
    <row r="2605" spans="1:5" hidden="1" x14ac:dyDescent="0.25">
      <c r="A2605">
        <v>49</v>
      </c>
      <c r="B2605">
        <v>10</v>
      </c>
      <c r="C2605" t="s">
        <v>39</v>
      </c>
      <c r="D2605" s="4">
        <v>0</v>
      </c>
      <c r="E2605" t="s">
        <v>39</v>
      </c>
    </row>
    <row r="2606" spans="1:5" hidden="1" x14ac:dyDescent="0.25">
      <c r="A2606">
        <v>49</v>
      </c>
      <c r="B2606">
        <v>13</v>
      </c>
      <c r="C2606" t="s">
        <v>39</v>
      </c>
      <c r="D2606" s="4">
        <v>0</v>
      </c>
      <c r="E2606" t="s">
        <v>39</v>
      </c>
    </row>
    <row r="2607" spans="1:5" x14ac:dyDescent="0.25">
      <c r="A2607">
        <v>49</v>
      </c>
      <c r="B2607">
        <v>13</v>
      </c>
      <c r="C2607" t="s">
        <v>1819</v>
      </c>
      <c r="D2607" s="5">
        <v>0</v>
      </c>
      <c r="E2607" t="s">
        <v>2647</v>
      </c>
    </row>
    <row r="2608" spans="1:5" hidden="1" x14ac:dyDescent="0.25">
      <c r="A2608">
        <v>49</v>
      </c>
      <c r="B2608">
        <v>13</v>
      </c>
      <c r="C2608" t="s">
        <v>39</v>
      </c>
      <c r="D2608" s="4">
        <v>0</v>
      </c>
      <c r="E2608" t="s">
        <v>39</v>
      </c>
    </row>
    <row r="2609" spans="1:5" x14ac:dyDescent="0.25">
      <c r="A2609">
        <v>49</v>
      </c>
      <c r="B2609">
        <v>13</v>
      </c>
      <c r="C2609" t="s">
        <v>2648</v>
      </c>
      <c r="D2609" s="5">
        <v>0</v>
      </c>
      <c r="E2609" t="s">
        <v>2649</v>
      </c>
    </row>
    <row r="2610" spans="1:5" hidden="1" x14ac:dyDescent="0.25">
      <c r="A2610">
        <v>49</v>
      </c>
      <c r="B2610">
        <v>13</v>
      </c>
      <c r="C2610" t="s">
        <v>39</v>
      </c>
      <c r="D2610" s="4">
        <v>0</v>
      </c>
      <c r="E2610" t="s">
        <v>39</v>
      </c>
    </row>
    <row r="2611" spans="1:5" x14ac:dyDescent="0.25">
      <c r="A2611">
        <v>49</v>
      </c>
      <c r="B2611">
        <v>13</v>
      </c>
      <c r="C2611" t="s">
        <v>613</v>
      </c>
      <c r="D2611" s="5">
        <v>0</v>
      </c>
      <c r="E2611" t="s">
        <v>614</v>
      </c>
    </row>
    <row r="2612" spans="1:5" hidden="1" x14ac:dyDescent="0.25">
      <c r="A2612">
        <v>49</v>
      </c>
      <c r="B2612">
        <v>13</v>
      </c>
      <c r="C2612" t="s">
        <v>39</v>
      </c>
      <c r="D2612" s="4">
        <v>0</v>
      </c>
      <c r="E2612" t="s">
        <v>39</v>
      </c>
    </row>
    <row r="2613" spans="1:5" x14ac:dyDescent="0.25">
      <c r="A2613">
        <v>49</v>
      </c>
      <c r="B2613">
        <v>13</v>
      </c>
      <c r="C2613" t="s">
        <v>1003</v>
      </c>
      <c r="D2613" s="5">
        <v>0</v>
      </c>
      <c r="E2613" t="s">
        <v>2513</v>
      </c>
    </row>
    <row r="2614" spans="1:5" hidden="1" x14ac:dyDescent="0.25">
      <c r="A2614">
        <v>49</v>
      </c>
      <c r="B2614">
        <v>13</v>
      </c>
      <c r="C2614" t="s">
        <v>39</v>
      </c>
      <c r="D2614" s="4">
        <v>0</v>
      </c>
      <c r="E2614" t="s">
        <v>39</v>
      </c>
    </row>
    <row r="2615" spans="1:5" hidden="1" x14ac:dyDescent="0.25">
      <c r="A2615">
        <v>49</v>
      </c>
      <c r="B2615">
        <v>16</v>
      </c>
      <c r="C2615" t="s">
        <v>39</v>
      </c>
      <c r="D2615" s="4">
        <v>0</v>
      </c>
      <c r="E2615" t="s">
        <v>39</v>
      </c>
    </row>
    <row r="2616" spans="1:5" x14ac:dyDescent="0.25">
      <c r="A2616">
        <v>49</v>
      </c>
      <c r="B2616">
        <v>16</v>
      </c>
      <c r="C2616" t="s">
        <v>1820</v>
      </c>
      <c r="D2616" s="5">
        <v>0</v>
      </c>
      <c r="E2616" t="s">
        <v>1821</v>
      </c>
    </row>
    <row r="2617" spans="1:5" hidden="1" x14ac:dyDescent="0.25">
      <c r="A2617">
        <v>49</v>
      </c>
      <c r="B2617">
        <v>16</v>
      </c>
      <c r="C2617" t="s">
        <v>39</v>
      </c>
      <c r="D2617" s="4">
        <v>0</v>
      </c>
      <c r="E2617" t="s">
        <v>39</v>
      </c>
    </row>
    <row r="2618" spans="1:5" x14ac:dyDescent="0.25">
      <c r="A2618">
        <v>49</v>
      </c>
      <c r="B2618">
        <v>16</v>
      </c>
      <c r="C2618" t="s">
        <v>1822</v>
      </c>
      <c r="D2618" s="5">
        <v>0</v>
      </c>
      <c r="E2618" t="s">
        <v>1823</v>
      </c>
    </row>
    <row r="2619" spans="1:5" hidden="1" x14ac:dyDescent="0.25">
      <c r="A2619">
        <v>49</v>
      </c>
      <c r="B2619">
        <v>16</v>
      </c>
      <c r="C2619" t="s">
        <v>39</v>
      </c>
      <c r="D2619" s="4">
        <v>0</v>
      </c>
      <c r="E2619" t="s">
        <v>39</v>
      </c>
    </row>
    <row r="2620" spans="1:5" x14ac:dyDescent="0.25">
      <c r="A2620">
        <v>49</v>
      </c>
      <c r="B2620">
        <v>16</v>
      </c>
      <c r="C2620" t="s">
        <v>1824</v>
      </c>
      <c r="D2620" s="5">
        <v>0</v>
      </c>
      <c r="E2620" t="s">
        <v>1825</v>
      </c>
    </row>
    <row r="2621" spans="1:5" hidden="1" x14ac:dyDescent="0.25">
      <c r="A2621">
        <v>49</v>
      </c>
      <c r="B2621">
        <v>16</v>
      </c>
      <c r="C2621" t="s">
        <v>39</v>
      </c>
      <c r="D2621" s="4">
        <v>0</v>
      </c>
      <c r="E2621" t="s">
        <v>39</v>
      </c>
    </row>
    <row r="2622" spans="1:5" x14ac:dyDescent="0.25">
      <c r="A2622">
        <v>49</v>
      </c>
      <c r="B2622">
        <v>16</v>
      </c>
      <c r="C2622" t="s">
        <v>1826</v>
      </c>
      <c r="D2622" s="5">
        <v>0</v>
      </c>
      <c r="E2622" t="s">
        <v>1827</v>
      </c>
    </row>
    <row r="2623" spans="1:5" hidden="1" x14ac:dyDescent="0.25">
      <c r="A2623">
        <v>49</v>
      </c>
      <c r="B2623">
        <v>16</v>
      </c>
      <c r="C2623" t="s">
        <v>39</v>
      </c>
      <c r="D2623" s="4">
        <v>0</v>
      </c>
      <c r="E2623" t="s">
        <v>39</v>
      </c>
    </row>
    <row r="2624" spans="1:5" hidden="1" x14ac:dyDescent="0.25">
      <c r="A2624">
        <v>49</v>
      </c>
      <c r="B2624">
        <v>20</v>
      </c>
      <c r="C2624" t="s">
        <v>39</v>
      </c>
      <c r="D2624" s="4">
        <v>0</v>
      </c>
      <c r="E2624" t="s">
        <v>39</v>
      </c>
    </row>
    <row r="2625" spans="1:5" x14ac:dyDescent="0.25">
      <c r="A2625">
        <v>49</v>
      </c>
      <c r="B2625">
        <v>20</v>
      </c>
      <c r="C2625" t="s">
        <v>2650</v>
      </c>
      <c r="D2625" s="5">
        <v>0</v>
      </c>
      <c r="E2625" t="s">
        <v>1828</v>
      </c>
    </row>
    <row r="2626" spans="1:5" hidden="1" x14ac:dyDescent="0.25">
      <c r="A2626">
        <v>49</v>
      </c>
      <c r="B2626">
        <v>20</v>
      </c>
      <c r="C2626" t="s">
        <v>39</v>
      </c>
      <c r="D2626" s="4">
        <v>0</v>
      </c>
      <c r="E2626" t="s">
        <v>39</v>
      </c>
    </row>
    <row r="2627" spans="1:5" x14ac:dyDescent="0.25">
      <c r="A2627">
        <v>49</v>
      </c>
      <c r="B2627">
        <v>20</v>
      </c>
      <c r="C2627" t="s">
        <v>1829</v>
      </c>
      <c r="D2627" s="5">
        <v>0</v>
      </c>
      <c r="E2627" t="s">
        <v>1830</v>
      </c>
    </row>
    <row r="2628" spans="1:5" hidden="1" x14ac:dyDescent="0.25">
      <c r="A2628">
        <v>49</v>
      </c>
      <c r="B2628">
        <v>20</v>
      </c>
      <c r="C2628" t="s">
        <v>39</v>
      </c>
      <c r="D2628" s="4">
        <v>0</v>
      </c>
      <c r="E2628" t="s">
        <v>39</v>
      </c>
    </row>
    <row r="2629" spans="1:5" x14ac:dyDescent="0.25">
      <c r="A2629">
        <v>49</v>
      </c>
      <c r="B2629">
        <v>20</v>
      </c>
      <c r="C2629" t="s">
        <v>547</v>
      </c>
      <c r="D2629" s="5">
        <v>0</v>
      </c>
      <c r="E2629" t="s">
        <v>548</v>
      </c>
    </row>
    <row r="2630" spans="1:5" hidden="1" x14ac:dyDescent="0.25">
      <c r="A2630">
        <v>49</v>
      </c>
      <c r="B2630">
        <v>20</v>
      </c>
      <c r="C2630" t="s">
        <v>39</v>
      </c>
      <c r="D2630" s="4">
        <v>0</v>
      </c>
      <c r="E2630" t="s">
        <v>39</v>
      </c>
    </row>
    <row r="2631" spans="1:5" x14ac:dyDescent="0.25">
      <c r="A2631">
        <v>49</v>
      </c>
      <c r="B2631">
        <v>20</v>
      </c>
      <c r="C2631" t="s">
        <v>245</v>
      </c>
      <c r="D2631" s="5">
        <v>0</v>
      </c>
      <c r="E2631" t="s">
        <v>246</v>
      </c>
    </row>
    <row r="2632" spans="1:5" hidden="1" x14ac:dyDescent="0.25">
      <c r="A2632">
        <v>49</v>
      </c>
      <c r="B2632">
        <v>20</v>
      </c>
      <c r="C2632" t="s">
        <v>39</v>
      </c>
      <c r="D2632" s="4">
        <v>0</v>
      </c>
      <c r="E2632" t="s">
        <v>39</v>
      </c>
    </row>
    <row r="2633" spans="1:5" x14ac:dyDescent="0.25">
      <c r="A2633">
        <v>49</v>
      </c>
      <c r="B2633">
        <v>20</v>
      </c>
      <c r="C2633" t="s">
        <v>80</v>
      </c>
      <c r="D2633" s="5">
        <v>0</v>
      </c>
      <c r="E2633" t="s">
        <v>81</v>
      </c>
    </row>
    <row r="2634" spans="1:5" x14ac:dyDescent="0.25">
      <c r="A2634">
        <v>50</v>
      </c>
      <c r="B2634">
        <v>1</v>
      </c>
      <c r="C2634" t="s">
        <v>2483</v>
      </c>
      <c r="D2634" s="5">
        <v>0</v>
      </c>
      <c r="E2634" t="s">
        <v>973</v>
      </c>
    </row>
    <row r="2635" spans="1:5" hidden="1" x14ac:dyDescent="0.25">
      <c r="A2635">
        <v>50</v>
      </c>
      <c r="B2635">
        <v>1</v>
      </c>
      <c r="C2635" t="s">
        <v>39</v>
      </c>
      <c r="D2635" s="4">
        <v>0</v>
      </c>
      <c r="E2635" t="s">
        <v>39</v>
      </c>
    </row>
    <row r="2636" spans="1:5" x14ac:dyDescent="0.25">
      <c r="A2636">
        <v>50</v>
      </c>
      <c r="B2636">
        <v>1</v>
      </c>
      <c r="C2636" t="s">
        <v>1831</v>
      </c>
      <c r="D2636" s="5">
        <v>0</v>
      </c>
      <c r="E2636" t="s">
        <v>1832</v>
      </c>
    </row>
    <row r="2637" spans="1:5" hidden="1" x14ac:dyDescent="0.25">
      <c r="A2637">
        <v>50</v>
      </c>
      <c r="B2637">
        <v>1</v>
      </c>
      <c r="C2637" t="s">
        <v>39</v>
      </c>
      <c r="D2637" s="4">
        <v>0</v>
      </c>
      <c r="E2637" t="s">
        <v>39</v>
      </c>
    </row>
    <row r="2638" spans="1:5" x14ac:dyDescent="0.25">
      <c r="A2638">
        <v>50</v>
      </c>
      <c r="B2638">
        <v>1</v>
      </c>
      <c r="C2638" t="s">
        <v>1833</v>
      </c>
      <c r="D2638" s="5">
        <v>0</v>
      </c>
      <c r="E2638" t="s">
        <v>1834</v>
      </c>
    </row>
    <row r="2639" spans="1:5" hidden="1" x14ac:dyDescent="0.25">
      <c r="A2639">
        <v>50</v>
      </c>
      <c r="B2639">
        <v>1</v>
      </c>
      <c r="C2639" t="s">
        <v>39</v>
      </c>
      <c r="D2639" s="4">
        <v>0</v>
      </c>
      <c r="E2639" t="s">
        <v>39</v>
      </c>
    </row>
    <row r="2640" spans="1:5" x14ac:dyDescent="0.25">
      <c r="A2640">
        <v>50</v>
      </c>
      <c r="B2640">
        <v>1</v>
      </c>
      <c r="C2640" t="s">
        <v>1835</v>
      </c>
      <c r="D2640" s="5">
        <v>0</v>
      </c>
      <c r="E2640" t="s">
        <v>1836</v>
      </c>
    </row>
    <row r="2641" spans="1:5" hidden="1" x14ac:dyDescent="0.25">
      <c r="A2641">
        <v>50</v>
      </c>
      <c r="B2641">
        <v>1</v>
      </c>
      <c r="C2641" t="s">
        <v>39</v>
      </c>
      <c r="D2641" s="4">
        <v>0</v>
      </c>
      <c r="E2641" t="s">
        <v>39</v>
      </c>
    </row>
    <row r="2642" spans="1:5" hidden="1" x14ac:dyDescent="0.25">
      <c r="A2642">
        <v>50</v>
      </c>
      <c r="B2642">
        <v>4</v>
      </c>
      <c r="C2642" t="s">
        <v>39</v>
      </c>
      <c r="D2642" s="4">
        <v>0</v>
      </c>
      <c r="E2642" t="s">
        <v>39</v>
      </c>
    </row>
    <row r="2643" spans="1:5" x14ac:dyDescent="0.25">
      <c r="A2643">
        <v>50</v>
      </c>
      <c r="B2643">
        <v>4</v>
      </c>
      <c r="C2643" t="s">
        <v>1837</v>
      </c>
      <c r="D2643" s="5">
        <v>0</v>
      </c>
      <c r="E2643" t="s">
        <v>1838</v>
      </c>
    </row>
    <row r="2644" spans="1:5" hidden="1" x14ac:dyDescent="0.25">
      <c r="A2644">
        <v>50</v>
      </c>
      <c r="B2644">
        <v>4</v>
      </c>
      <c r="C2644" t="s">
        <v>39</v>
      </c>
      <c r="D2644" s="4">
        <v>0</v>
      </c>
      <c r="E2644" t="s">
        <v>39</v>
      </c>
    </row>
    <row r="2645" spans="1:5" x14ac:dyDescent="0.25">
      <c r="A2645">
        <v>50</v>
      </c>
      <c r="B2645">
        <v>4</v>
      </c>
      <c r="C2645" t="s">
        <v>1839</v>
      </c>
      <c r="D2645" s="5">
        <v>0</v>
      </c>
      <c r="E2645" t="s">
        <v>1840</v>
      </c>
    </row>
    <row r="2646" spans="1:5" hidden="1" x14ac:dyDescent="0.25">
      <c r="A2646">
        <v>50</v>
      </c>
      <c r="B2646">
        <v>4</v>
      </c>
      <c r="C2646" t="s">
        <v>39</v>
      </c>
      <c r="D2646" s="4">
        <v>0</v>
      </c>
      <c r="E2646" t="s">
        <v>39</v>
      </c>
    </row>
    <row r="2647" spans="1:5" x14ac:dyDescent="0.25">
      <c r="A2647">
        <v>50</v>
      </c>
      <c r="B2647">
        <v>4</v>
      </c>
      <c r="C2647" t="s">
        <v>1806</v>
      </c>
      <c r="D2647" s="5">
        <v>0</v>
      </c>
      <c r="E2647" t="s">
        <v>1807</v>
      </c>
    </row>
    <row r="2648" spans="1:5" hidden="1" x14ac:dyDescent="0.25">
      <c r="A2648">
        <v>50</v>
      </c>
      <c r="B2648">
        <v>4</v>
      </c>
      <c r="C2648" t="s">
        <v>39</v>
      </c>
      <c r="D2648" s="4">
        <v>0</v>
      </c>
      <c r="E2648" t="s">
        <v>39</v>
      </c>
    </row>
    <row r="2649" spans="1:5" hidden="1" x14ac:dyDescent="0.25">
      <c r="A2649">
        <v>50</v>
      </c>
      <c r="B2649">
        <v>7</v>
      </c>
      <c r="C2649" t="s">
        <v>39</v>
      </c>
      <c r="D2649" s="4">
        <v>0</v>
      </c>
      <c r="E2649" t="s">
        <v>39</v>
      </c>
    </row>
    <row r="2650" spans="1:5" x14ac:dyDescent="0.25">
      <c r="A2650">
        <v>50</v>
      </c>
      <c r="B2650">
        <v>7</v>
      </c>
      <c r="C2650" t="s">
        <v>1841</v>
      </c>
      <c r="D2650" s="5">
        <v>0</v>
      </c>
      <c r="E2650" t="s">
        <v>2651</v>
      </c>
    </row>
    <row r="2651" spans="1:5" hidden="1" x14ac:dyDescent="0.25">
      <c r="A2651">
        <v>50</v>
      </c>
      <c r="B2651">
        <v>7</v>
      </c>
      <c r="C2651" t="s">
        <v>39</v>
      </c>
      <c r="D2651" s="4">
        <v>0</v>
      </c>
      <c r="E2651" t="s">
        <v>39</v>
      </c>
    </row>
    <row r="2652" spans="1:5" x14ac:dyDescent="0.25">
      <c r="A2652">
        <v>50</v>
      </c>
      <c r="B2652">
        <v>7</v>
      </c>
      <c r="C2652" t="s">
        <v>1842</v>
      </c>
      <c r="D2652" s="5">
        <v>0</v>
      </c>
      <c r="E2652" t="s">
        <v>1843</v>
      </c>
    </row>
    <row r="2653" spans="1:5" hidden="1" x14ac:dyDescent="0.25">
      <c r="A2653">
        <v>50</v>
      </c>
      <c r="B2653">
        <v>7</v>
      </c>
      <c r="C2653" t="s">
        <v>39</v>
      </c>
      <c r="D2653" s="4">
        <v>0</v>
      </c>
      <c r="E2653" t="s">
        <v>39</v>
      </c>
    </row>
    <row r="2654" spans="1:5" x14ac:dyDescent="0.25">
      <c r="A2654">
        <v>50</v>
      </c>
      <c r="B2654">
        <v>7</v>
      </c>
      <c r="C2654" t="s">
        <v>217</v>
      </c>
      <c r="D2654" s="5">
        <v>0</v>
      </c>
      <c r="E2654" t="s">
        <v>218</v>
      </c>
    </row>
    <row r="2655" spans="1:5" hidden="1" x14ac:dyDescent="0.25">
      <c r="A2655">
        <v>50</v>
      </c>
      <c r="B2655">
        <v>7</v>
      </c>
      <c r="C2655" t="s">
        <v>39</v>
      </c>
      <c r="D2655" s="4">
        <v>0</v>
      </c>
      <c r="E2655" t="s">
        <v>39</v>
      </c>
    </row>
    <row r="2656" spans="1:5" hidden="1" x14ac:dyDescent="0.25">
      <c r="A2656">
        <v>50</v>
      </c>
      <c r="B2656">
        <v>10</v>
      </c>
      <c r="C2656" t="s">
        <v>39</v>
      </c>
      <c r="D2656" s="4">
        <v>0</v>
      </c>
      <c r="E2656" t="s">
        <v>39</v>
      </c>
    </row>
    <row r="2657" spans="1:5" x14ac:dyDescent="0.25">
      <c r="A2657">
        <v>50</v>
      </c>
      <c r="B2657">
        <v>10</v>
      </c>
      <c r="C2657" t="s">
        <v>1844</v>
      </c>
      <c r="D2657" s="5">
        <v>0</v>
      </c>
      <c r="E2657" t="s">
        <v>1845</v>
      </c>
    </row>
    <row r="2658" spans="1:5" hidden="1" x14ac:dyDescent="0.25">
      <c r="A2658">
        <v>50</v>
      </c>
      <c r="B2658">
        <v>10</v>
      </c>
      <c r="C2658" t="s">
        <v>39</v>
      </c>
      <c r="D2658" s="4">
        <v>0</v>
      </c>
      <c r="E2658" t="s">
        <v>39</v>
      </c>
    </row>
    <row r="2659" spans="1:5" x14ac:dyDescent="0.25">
      <c r="A2659">
        <v>50</v>
      </c>
      <c r="B2659">
        <v>10</v>
      </c>
      <c r="C2659" t="s">
        <v>1846</v>
      </c>
      <c r="D2659" s="5">
        <v>0</v>
      </c>
      <c r="E2659" t="s">
        <v>1847</v>
      </c>
    </row>
    <row r="2660" spans="1:5" hidden="1" x14ac:dyDescent="0.25">
      <c r="A2660">
        <v>50</v>
      </c>
      <c r="B2660">
        <v>10</v>
      </c>
      <c r="C2660" t="s">
        <v>39</v>
      </c>
      <c r="D2660" s="4">
        <v>0</v>
      </c>
      <c r="E2660" t="s">
        <v>39</v>
      </c>
    </row>
    <row r="2661" spans="1:5" hidden="1" x14ac:dyDescent="0.25">
      <c r="A2661">
        <v>50</v>
      </c>
      <c r="B2661">
        <v>13</v>
      </c>
      <c r="C2661" t="s">
        <v>39</v>
      </c>
      <c r="D2661" s="4">
        <v>0</v>
      </c>
      <c r="E2661" t="s">
        <v>39</v>
      </c>
    </row>
    <row r="2662" spans="1:5" x14ac:dyDescent="0.25">
      <c r="A2662">
        <v>50</v>
      </c>
      <c r="B2662">
        <v>13</v>
      </c>
      <c r="C2662" t="s">
        <v>1848</v>
      </c>
      <c r="D2662" s="5">
        <v>0</v>
      </c>
      <c r="E2662" t="s">
        <v>1849</v>
      </c>
    </row>
    <row r="2663" spans="1:5" hidden="1" x14ac:dyDescent="0.25">
      <c r="A2663">
        <v>50</v>
      </c>
      <c r="B2663">
        <v>13</v>
      </c>
      <c r="C2663" t="s">
        <v>39</v>
      </c>
      <c r="D2663" s="4">
        <v>0</v>
      </c>
      <c r="E2663" t="s">
        <v>39</v>
      </c>
    </row>
    <row r="2664" spans="1:5" x14ac:dyDescent="0.25">
      <c r="A2664">
        <v>50</v>
      </c>
      <c r="B2664">
        <v>13</v>
      </c>
      <c r="C2664" t="s">
        <v>812</v>
      </c>
      <c r="D2664" s="5">
        <v>0</v>
      </c>
      <c r="E2664" t="s">
        <v>813</v>
      </c>
    </row>
    <row r="2665" spans="1:5" hidden="1" x14ac:dyDescent="0.25">
      <c r="A2665">
        <v>50</v>
      </c>
      <c r="B2665">
        <v>13</v>
      </c>
      <c r="C2665" t="s">
        <v>39</v>
      </c>
      <c r="D2665" s="4">
        <v>0</v>
      </c>
      <c r="E2665" t="s">
        <v>39</v>
      </c>
    </row>
    <row r="2666" spans="1:5" x14ac:dyDescent="0.25">
      <c r="A2666">
        <v>50</v>
      </c>
      <c r="B2666">
        <v>13</v>
      </c>
      <c r="C2666" t="s">
        <v>1850</v>
      </c>
      <c r="D2666" s="5">
        <v>0</v>
      </c>
      <c r="E2666" t="s">
        <v>1851</v>
      </c>
    </row>
    <row r="2667" spans="1:5" hidden="1" x14ac:dyDescent="0.25">
      <c r="A2667">
        <v>50</v>
      </c>
      <c r="B2667">
        <v>13</v>
      </c>
      <c r="C2667" t="s">
        <v>39</v>
      </c>
      <c r="D2667" s="4">
        <v>0</v>
      </c>
      <c r="E2667" t="s">
        <v>39</v>
      </c>
    </row>
    <row r="2668" spans="1:5" x14ac:dyDescent="0.25">
      <c r="A2668">
        <v>50</v>
      </c>
      <c r="B2668">
        <v>13</v>
      </c>
      <c r="C2668" t="s">
        <v>1003</v>
      </c>
      <c r="D2668" s="5">
        <v>0</v>
      </c>
      <c r="E2668" t="s">
        <v>2513</v>
      </c>
    </row>
    <row r="2669" spans="1:5" hidden="1" x14ac:dyDescent="0.25">
      <c r="A2669">
        <v>50</v>
      </c>
      <c r="B2669">
        <v>13</v>
      </c>
      <c r="C2669" t="s">
        <v>39</v>
      </c>
      <c r="D2669" s="4">
        <v>0</v>
      </c>
      <c r="E2669" t="s">
        <v>39</v>
      </c>
    </row>
    <row r="2670" spans="1:5" hidden="1" x14ac:dyDescent="0.25">
      <c r="A2670">
        <v>50</v>
      </c>
      <c r="B2670">
        <v>16</v>
      </c>
      <c r="C2670" t="s">
        <v>39</v>
      </c>
      <c r="D2670" s="4">
        <v>0</v>
      </c>
      <c r="E2670" t="s">
        <v>39</v>
      </c>
    </row>
    <row r="2671" spans="1:5" x14ac:dyDescent="0.25">
      <c r="A2671">
        <v>50</v>
      </c>
      <c r="B2671">
        <v>16</v>
      </c>
      <c r="C2671" t="s">
        <v>1852</v>
      </c>
      <c r="D2671" s="5">
        <v>0</v>
      </c>
      <c r="E2671" t="s">
        <v>1853</v>
      </c>
    </row>
    <row r="2672" spans="1:5" hidden="1" x14ac:dyDescent="0.25">
      <c r="A2672">
        <v>50</v>
      </c>
      <c r="B2672">
        <v>16</v>
      </c>
      <c r="C2672" t="s">
        <v>39</v>
      </c>
      <c r="D2672" s="4">
        <v>0</v>
      </c>
      <c r="E2672" t="s">
        <v>39</v>
      </c>
    </row>
    <row r="2673" spans="1:5" x14ac:dyDescent="0.25">
      <c r="A2673">
        <v>50</v>
      </c>
      <c r="B2673">
        <v>16</v>
      </c>
      <c r="C2673" t="s">
        <v>237</v>
      </c>
      <c r="D2673" s="5">
        <v>0</v>
      </c>
      <c r="E2673" t="s">
        <v>238</v>
      </c>
    </row>
    <row r="2674" spans="1:5" hidden="1" x14ac:dyDescent="0.25">
      <c r="A2674">
        <v>50</v>
      </c>
      <c r="B2674">
        <v>16</v>
      </c>
      <c r="C2674" t="s">
        <v>39</v>
      </c>
      <c r="D2674" s="4">
        <v>0</v>
      </c>
      <c r="E2674" t="s">
        <v>39</v>
      </c>
    </row>
    <row r="2675" spans="1:5" x14ac:dyDescent="0.25">
      <c r="A2675">
        <v>50</v>
      </c>
      <c r="B2675">
        <v>16</v>
      </c>
      <c r="C2675" t="s">
        <v>1854</v>
      </c>
      <c r="D2675" s="5">
        <v>0</v>
      </c>
      <c r="E2675" t="s">
        <v>1855</v>
      </c>
    </row>
    <row r="2676" spans="1:5" hidden="1" x14ac:dyDescent="0.25">
      <c r="A2676">
        <v>50</v>
      </c>
      <c r="B2676">
        <v>16</v>
      </c>
      <c r="C2676" t="s">
        <v>39</v>
      </c>
      <c r="D2676" s="4">
        <v>0</v>
      </c>
      <c r="E2676" t="s">
        <v>39</v>
      </c>
    </row>
    <row r="2677" spans="1:5" x14ac:dyDescent="0.25">
      <c r="A2677">
        <v>50</v>
      </c>
      <c r="B2677">
        <v>16</v>
      </c>
      <c r="C2677" t="s">
        <v>1856</v>
      </c>
      <c r="D2677" s="5">
        <v>0</v>
      </c>
      <c r="E2677" t="s">
        <v>1857</v>
      </c>
    </row>
    <row r="2678" spans="1:5" hidden="1" x14ac:dyDescent="0.25">
      <c r="A2678">
        <v>50</v>
      </c>
      <c r="B2678">
        <v>16</v>
      </c>
      <c r="C2678" t="s">
        <v>39</v>
      </c>
      <c r="D2678" s="4">
        <v>0</v>
      </c>
      <c r="E2678" t="s">
        <v>39</v>
      </c>
    </row>
    <row r="2679" spans="1:5" hidden="1" x14ac:dyDescent="0.25">
      <c r="A2679">
        <v>50</v>
      </c>
      <c r="B2679">
        <v>20</v>
      </c>
      <c r="C2679" t="s">
        <v>39</v>
      </c>
      <c r="D2679" s="4">
        <v>0</v>
      </c>
      <c r="E2679" t="s">
        <v>39</v>
      </c>
    </row>
    <row r="2680" spans="1:5" x14ac:dyDescent="0.25">
      <c r="A2680">
        <v>50</v>
      </c>
      <c r="B2680">
        <v>20</v>
      </c>
      <c r="C2680" t="s">
        <v>1858</v>
      </c>
      <c r="D2680" s="5">
        <v>0</v>
      </c>
      <c r="E2680" t="s">
        <v>1859</v>
      </c>
    </row>
    <row r="2681" spans="1:5" hidden="1" x14ac:dyDescent="0.25">
      <c r="A2681">
        <v>50</v>
      </c>
      <c r="B2681">
        <v>20</v>
      </c>
      <c r="C2681" t="s">
        <v>39</v>
      </c>
      <c r="D2681" s="4">
        <v>0</v>
      </c>
      <c r="E2681" t="s">
        <v>39</v>
      </c>
    </row>
    <row r="2682" spans="1:5" x14ac:dyDescent="0.25">
      <c r="A2682">
        <v>50</v>
      </c>
      <c r="B2682">
        <v>20</v>
      </c>
      <c r="C2682" t="s">
        <v>1860</v>
      </c>
      <c r="D2682" s="5">
        <v>0</v>
      </c>
      <c r="E2682" t="s">
        <v>2652</v>
      </c>
    </row>
    <row r="2683" spans="1:5" hidden="1" x14ac:dyDescent="0.25">
      <c r="A2683">
        <v>50</v>
      </c>
      <c r="B2683">
        <v>20</v>
      </c>
      <c r="C2683" t="s">
        <v>39</v>
      </c>
      <c r="D2683" s="4">
        <v>0</v>
      </c>
      <c r="E2683" t="s">
        <v>39</v>
      </c>
    </row>
    <row r="2684" spans="1:5" x14ac:dyDescent="0.25">
      <c r="A2684">
        <v>50</v>
      </c>
      <c r="B2684">
        <v>20</v>
      </c>
      <c r="C2684" t="s">
        <v>1861</v>
      </c>
      <c r="D2684" s="5">
        <v>0</v>
      </c>
      <c r="E2684" t="s">
        <v>2653</v>
      </c>
    </row>
    <row r="2685" spans="1:5" hidden="1" x14ac:dyDescent="0.25">
      <c r="A2685">
        <v>50</v>
      </c>
      <c r="B2685">
        <v>20</v>
      </c>
      <c r="C2685" t="s">
        <v>39</v>
      </c>
      <c r="D2685" s="4">
        <v>0</v>
      </c>
      <c r="E2685" t="s">
        <v>39</v>
      </c>
    </row>
    <row r="2686" spans="1:5" x14ac:dyDescent="0.25">
      <c r="A2686">
        <v>50</v>
      </c>
      <c r="B2686">
        <v>20</v>
      </c>
      <c r="C2686" t="s">
        <v>245</v>
      </c>
      <c r="D2686" s="5">
        <v>0</v>
      </c>
      <c r="E2686" t="s">
        <v>246</v>
      </c>
    </row>
    <row r="2687" spans="1:5" x14ac:dyDescent="0.25">
      <c r="A2687">
        <v>51</v>
      </c>
      <c r="B2687">
        <v>1</v>
      </c>
      <c r="C2687" t="s">
        <v>1862</v>
      </c>
      <c r="D2687" s="5">
        <v>0</v>
      </c>
      <c r="E2687" t="s">
        <v>1863</v>
      </c>
    </row>
    <row r="2688" spans="1:5" hidden="1" x14ac:dyDescent="0.25">
      <c r="A2688">
        <v>51</v>
      </c>
      <c r="B2688">
        <v>1</v>
      </c>
      <c r="C2688" t="s">
        <v>39</v>
      </c>
      <c r="D2688" s="4">
        <v>0</v>
      </c>
      <c r="E2688" t="s">
        <v>39</v>
      </c>
    </row>
    <row r="2689" spans="1:5" x14ac:dyDescent="0.25">
      <c r="A2689">
        <v>51</v>
      </c>
      <c r="B2689">
        <v>1</v>
      </c>
      <c r="C2689" t="s">
        <v>1864</v>
      </c>
      <c r="D2689" s="5">
        <v>0</v>
      </c>
      <c r="E2689" t="s">
        <v>1865</v>
      </c>
    </row>
    <row r="2690" spans="1:5" hidden="1" x14ac:dyDescent="0.25">
      <c r="A2690">
        <v>51</v>
      </c>
      <c r="B2690">
        <v>1</v>
      </c>
      <c r="C2690" t="s">
        <v>39</v>
      </c>
      <c r="D2690" s="4">
        <v>0</v>
      </c>
      <c r="E2690" t="s">
        <v>39</v>
      </c>
    </row>
    <row r="2691" spans="1:5" hidden="1" x14ac:dyDescent="0.25">
      <c r="A2691">
        <v>51</v>
      </c>
      <c r="B2691">
        <v>1</v>
      </c>
      <c r="C2691" t="s">
        <v>39</v>
      </c>
      <c r="D2691" s="4">
        <v>0</v>
      </c>
      <c r="E2691" t="s">
        <v>39</v>
      </c>
    </row>
    <row r="2692" spans="1:5" x14ac:dyDescent="0.25">
      <c r="A2692">
        <v>51</v>
      </c>
      <c r="B2692">
        <v>1</v>
      </c>
      <c r="C2692" t="s">
        <v>1866</v>
      </c>
      <c r="D2692" s="5">
        <v>0</v>
      </c>
      <c r="E2692" t="s">
        <v>1867</v>
      </c>
    </row>
    <row r="2693" spans="1:5" hidden="1" x14ac:dyDescent="0.25">
      <c r="A2693">
        <v>51</v>
      </c>
      <c r="B2693">
        <v>1</v>
      </c>
      <c r="C2693" t="s">
        <v>39</v>
      </c>
      <c r="D2693" s="4">
        <v>0</v>
      </c>
      <c r="E2693" t="s">
        <v>39</v>
      </c>
    </row>
    <row r="2694" spans="1:5" hidden="1" x14ac:dyDescent="0.25">
      <c r="A2694">
        <v>51</v>
      </c>
      <c r="B2694">
        <v>4</v>
      </c>
      <c r="C2694" t="s">
        <v>39</v>
      </c>
      <c r="D2694" s="4">
        <v>0</v>
      </c>
      <c r="E2694" t="s">
        <v>39</v>
      </c>
    </row>
    <row r="2695" spans="1:5" x14ac:dyDescent="0.25">
      <c r="A2695">
        <v>51</v>
      </c>
      <c r="B2695">
        <v>4</v>
      </c>
      <c r="C2695" t="s">
        <v>1868</v>
      </c>
      <c r="D2695" s="5">
        <v>0</v>
      </c>
      <c r="E2695" t="s">
        <v>1902</v>
      </c>
    </row>
    <row r="2696" spans="1:5" hidden="1" x14ac:dyDescent="0.25">
      <c r="A2696">
        <v>51</v>
      </c>
      <c r="B2696">
        <v>4</v>
      </c>
      <c r="C2696" t="s">
        <v>39</v>
      </c>
      <c r="D2696" s="4">
        <v>0</v>
      </c>
      <c r="E2696" t="s">
        <v>39</v>
      </c>
    </row>
    <row r="2697" spans="1:5" x14ac:dyDescent="0.25">
      <c r="A2697">
        <v>51</v>
      </c>
      <c r="B2697">
        <v>4</v>
      </c>
      <c r="C2697" t="s">
        <v>1869</v>
      </c>
      <c r="D2697" s="5">
        <v>0</v>
      </c>
      <c r="E2697" t="s">
        <v>1870</v>
      </c>
    </row>
    <row r="2698" spans="1:5" hidden="1" x14ac:dyDescent="0.25">
      <c r="A2698">
        <v>51</v>
      </c>
      <c r="B2698">
        <v>4</v>
      </c>
      <c r="C2698" t="s">
        <v>39</v>
      </c>
      <c r="D2698" s="4">
        <v>0</v>
      </c>
      <c r="E2698" t="s">
        <v>39</v>
      </c>
    </row>
    <row r="2699" spans="1:5" x14ac:dyDescent="0.25">
      <c r="A2699">
        <v>51</v>
      </c>
      <c r="B2699">
        <v>4</v>
      </c>
      <c r="C2699" t="s">
        <v>1871</v>
      </c>
      <c r="D2699" s="5">
        <v>0</v>
      </c>
      <c r="E2699" t="s">
        <v>1872</v>
      </c>
    </row>
    <row r="2700" spans="1:5" hidden="1" x14ac:dyDescent="0.25">
      <c r="A2700">
        <v>51</v>
      </c>
      <c r="B2700">
        <v>4</v>
      </c>
      <c r="C2700" t="s">
        <v>39</v>
      </c>
      <c r="D2700" s="4">
        <v>0</v>
      </c>
      <c r="E2700" t="s">
        <v>39</v>
      </c>
    </row>
    <row r="2701" spans="1:5" hidden="1" x14ac:dyDescent="0.25">
      <c r="A2701">
        <v>51</v>
      </c>
      <c r="B2701">
        <v>4</v>
      </c>
      <c r="C2701" t="s">
        <v>39</v>
      </c>
      <c r="D2701" s="4">
        <v>0</v>
      </c>
      <c r="E2701" t="s">
        <v>39</v>
      </c>
    </row>
    <row r="2702" spans="1:5" hidden="1" x14ac:dyDescent="0.25">
      <c r="A2702">
        <v>51</v>
      </c>
      <c r="B2702">
        <v>7</v>
      </c>
      <c r="C2702" t="s">
        <v>39</v>
      </c>
      <c r="D2702" s="4">
        <v>0</v>
      </c>
      <c r="E2702" t="s">
        <v>39</v>
      </c>
    </row>
    <row r="2703" spans="1:5" x14ac:dyDescent="0.25">
      <c r="A2703">
        <v>51</v>
      </c>
      <c r="B2703">
        <v>7</v>
      </c>
      <c r="C2703" t="s">
        <v>1873</v>
      </c>
      <c r="D2703" s="5">
        <v>0</v>
      </c>
      <c r="E2703" t="s">
        <v>1874</v>
      </c>
    </row>
    <row r="2704" spans="1:5" hidden="1" x14ac:dyDescent="0.25">
      <c r="A2704">
        <v>51</v>
      </c>
      <c r="B2704">
        <v>7</v>
      </c>
      <c r="C2704" t="s">
        <v>39</v>
      </c>
      <c r="D2704" s="4">
        <v>0</v>
      </c>
      <c r="E2704" t="s">
        <v>39</v>
      </c>
    </row>
    <row r="2705" spans="1:5" x14ac:dyDescent="0.25">
      <c r="A2705">
        <v>51</v>
      </c>
      <c r="B2705">
        <v>7</v>
      </c>
      <c r="C2705" t="s">
        <v>1875</v>
      </c>
      <c r="D2705" s="5">
        <v>0</v>
      </c>
      <c r="E2705" t="s">
        <v>1876</v>
      </c>
    </row>
    <row r="2706" spans="1:5" hidden="1" x14ac:dyDescent="0.25">
      <c r="A2706">
        <v>51</v>
      </c>
      <c r="B2706">
        <v>7</v>
      </c>
      <c r="C2706" t="s">
        <v>39</v>
      </c>
      <c r="D2706" s="4">
        <v>0</v>
      </c>
      <c r="E2706" t="s">
        <v>39</v>
      </c>
    </row>
    <row r="2707" spans="1:5" x14ac:dyDescent="0.25">
      <c r="A2707">
        <v>51</v>
      </c>
      <c r="B2707">
        <v>7</v>
      </c>
      <c r="C2707" t="s">
        <v>1877</v>
      </c>
      <c r="D2707" s="5">
        <v>0</v>
      </c>
      <c r="E2707" t="s">
        <v>1878</v>
      </c>
    </row>
    <row r="2708" spans="1:5" hidden="1" x14ac:dyDescent="0.25">
      <c r="A2708">
        <v>51</v>
      </c>
      <c r="B2708">
        <v>7</v>
      </c>
      <c r="C2708" t="s">
        <v>39</v>
      </c>
      <c r="D2708" s="4">
        <v>0</v>
      </c>
      <c r="E2708" t="s">
        <v>39</v>
      </c>
    </row>
    <row r="2709" spans="1:5" hidden="1" x14ac:dyDescent="0.25">
      <c r="A2709">
        <v>51</v>
      </c>
      <c r="B2709">
        <v>10</v>
      </c>
      <c r="C2709" t="s">
        <v>39</v>
      </c>
      <c r="D2709" s="4">
        <v>0</v>
      </c>
      <c r="E2709" t="s">
        <v>39</v>
      </c>
    </row>
    <row r="2710" spans="1:5" x14ac:dyDescent="0.25">
      <c r="A2710">
        <v>51</v>
      </c>
      <c r="B2710">
        <v>10</v>
      </c>
      <c r="C2710" t="s">
        <v>1879</v>
      </c>
      <c r="D2710" s="5">
        <v>0</v>
      </c>
      <c r="E2710" t="s">
        <v>1880</v>
      </c>
    </row>
    <row r="2711" spans="1:5" hidden="1" x14ac:dyDescent="0.25">
      <c r="A2711">
        <v>51</v>
      </c>
      <c r="B2711">
        <v>10</v>
      </c>
      <c r="C2711" t="s">
        <v>39</v>
      </c>
      <c r="D2711" s="4">
        <v>0</v>
      </c>
      <c r="E2711" t="s">
        <v>39</v>
      </c>
    </row>
    <row r="2712" spans="1:5" x14ac:dyDescent="0.25">
      <c r="A2712">
        <v>51</v>
      </c>
      <c r="B2712">
        <v>10</v>
      </c>
      <c r="C2712" t="s">
        <v>1881</v>
      </c>
      <c r="D2712" s="5">
        <v>0</v>
      </c>
      <c r="E2712" t="s">
        <v>1882</v>
      </c>
    </row>
    <row r="2713" spans="1:5" hidden="1" x14ac:dyDescent="0.25">
      <c r="A2713">
        <v>51</v>
      </c>
      <c r="B2713">
        <v>10</v>
      </c>
      <c r="C2713" t="s">
        <v>39</v>
      </c>
      <c r="D2713" s="4">
        <v>0</v>
      </c>
      <c r="E2713" t="s">
        <v>39</v>
      </c>
    </row>
    <row r="2714" spans="1:5" hidden="1" x14ac:dyDescent="0.25">
      <c r="A2714">
        <v>51</v>
      </c>
      <c r="B2714">
        <v>13</v>
      </c>
      <c r="C2714" t="s">
        <v>39</v>
      </c>
      <c r="D2714" s="4">
        <v>0</v>
      </c>
      <c r="E2714" t="s">
        <v>39</v>
      </c>
    </row>
    <row r="2715" spans="1:5" x14ac:dyDescent="0.25">
      <c r="A2715">
        <v>51</v>
      </c>
      <c r="B2715">
        <v>13</v>
      </c>
      <c r="C2715" t="s">
        <v>1883</v>
      </c>
      <c r="D2715" s="5">
        <v>0</v>
      </c>
      <c r="E2715" t="s">
        <v>1884</v>
      </c>
    </row>
    <row r="2716" spans="1:5" hidden="1" x14ac:dyDescent="0.25">
      <c r="A2716">
        <v>51</v>
      </c>
      <c r="B2716">
        <v>13</v>
      </c>
      <c r="C2716" t="s">
        <v>39</v>
      </c>
      <c r="D2716" s="4">
        <v>0</v>
      </c>
      <c r="E2716" t="s">
        <v>39</v>
      </c>
    </row>
    <row r="2717" spans="1:5" x14ac:dyDescent="0.25">
      <c r="A2717">
        <v>51</v>
      </c>
      <c r="B2717">
        <v>13</v>
      </c>
      <c r="C2717" t="s">
        <v>1885</v>
      </c>
      <c r="D2717" s="5">
        <v>0</v>
      </c>
      <c r="E2717" t="s">
        <v>1886</v>
      </c>
    </row>
    <row r="2718" spans="1:5" hidden="1" x14ac:dyDescent="0.25">
      <c r="A2718">
        <v>51</v>
      </c>
      <c r="B2718">
        <v>13</v>
      </c>
      <c r="C2718" t="s">
        <v>39</v>
      </c>
      <c r="D2718" s="4">
        <v>0</v>
      </c>
      <c r="E2718" t="s">
        <v>39</v>
      </c>
    </row>
    <row r="2719" spans="1:5" x14ac:dyDescent="0.25">
      <c r="A2719">
        <v>51</v>
      </c>
      <c r="B2719">
        <v>13</v>
      </c>
      <c r="C2719" t="s">
        <v>1887</v>
      </c>
      <c r="D2719" s="5">
        <v>5</v>
      </c>
      <c r="E2719" t="s">
        <v>1903</v>
      </c>
    </row>
    <row r="2720" spans="1:5" hidden="1" x14ac:dyDescent="0.25">
      <c r="A2720">
        <v>51</v>
      </c>
      <c r="B2720">
        <v>13</v>
      </c>
      <c r="C2720" t="s">
        <v>39</v>
      </c>
      <c r="D2720" s="4">
        <v>0</v>
      </c>
      <c r="E2720" t="s">
        <v>39</v>
      </c>
    </row>
    <row r="2721" spans="1:5" hidden="1" x14ac:dyDescent="0.25">
      <c r="A2721">
        <v>51</v>
      </c>
      <c r="B2721">
        <v>13</v>
      </c>
      <c r="C2721" t="s">
        <v>39</v>
      </c>
      <c r="D2721" s="4">
        <v>0</v>
      </c>
      <c r="E2721" t="s">
        <v>39</v>
      </c>
    </row>
    <row r="2722" spans="1:5" hidden="1" x14ac:dyDescent="0.25">
      <c r="A2722">
        <v>51</v>
      </c>
      <c r="B2722">
        <v>16</v>
      </c>
      <c r="C2722" t="s">
        <v>39</v>
      </c>
      <c r="D2722" s="4">
        <v>0</v>
      </c>
      <c r="E2722" t="s">
        <v>39</v>
      </c>
    </row>
    <row r="2723" spans="1:5" x14ac:dyDescent="0.25">
      <c r="A2723">
        <v>51</v>
      </c>
      <c r="B2723">
        <v>16</v>
      </c>
      <c r="C2723" t="s">
        <v>1888</v>
      </c>
      <c r="D2723" s="5">
        <v>0</v>
      </c>
      <c r="E2723" t="s">
        <v>1889</v>
      </c>
    </row>
    <row r="2724" spans="1:5" hidden="1" x14ac:dyDescent="0.25">
      <c r="A2724">
        <v>51</v>
      </c>
      <c r="B2724">
        <v>16</v>
      </c>
      <c r="C2724" t="s">
        <v>39</v>
      </c>
      <c r="D2724" s="4">
        <v>0</v>
      </c>
      <c r="E2724" t="s">
        <v>39</v>
      </c>
    </row>
    <row r="2725" spans="1:5" x14ac:dyDescent="0.25">
      <c r="A2725">
        <v>51</v>
      </c>
      <c r="B2725">
        <v>16</v>
      </c>
      <c r="C2725" t="s">
        <v>1890</v>
      </c>
      <c r="D2725" s="5">
        <v>0</v>
      </c>
      <c r="E2725" t="s">
        <v>1891</v>
      </c>
    </row>
    <row r="2726" spans="1:5" hidden="1" x14ac:dyDescent="0.25">
      <c r="A2726">
        <v>51</v>
      </c>
      <c r="B2726">
        <v>16</v>
      </c>
      <c r="C2726" t="s">
        <v>39</v>
      </c>
      <c r="D2726" s="4">
        <v>0</v>
      </c>
      <c r="E2726" t="s">
        <v>39</v>
      </c>
    </row>
    <row r="2727" spans="1:5" x14ac:dyDescent="0.25">
      <c r="A2727">
        <v>51</v>
      </c>
      <c r="B2727">
        <v>16</v>
      </c>
      <c r="C2727" t="s">
        <v>1892</v>
      </c>
      <c r="D2727" s="5">
        <v>0</v>
      </c>
      <c r="E2727" t="s">
        <v>1893</v>
      </c>
    </row>
    <row r="2728" spans="1:5" hidden="1" x14ac:dyDescent="0.25">
      <c r="A2728">
        <v>51</v>
      </c>
      <c r="B2728">
        <v>16</v>
      </c>
      <c r="C2728" t="s">
        <v>39</v>
      </c>
      <c r="D2728" s="4">
        <v>0</v>
      </c>
      <c r="E2728" t="s">
        <v>39</v>
      </c>
    </row>
    <row r="2729" spans="1:5" hidden="1" x14ac:dyDescent="0.25">
      <c r="A2729">
        <v>51</v>
      </c>
      <c r="B2729">
        <v>20</v>
      </c>
      <c r="C2729" t="s">
        <v>39</v>
      </c>
      <c r="D2729" s="4">
        <v>0</v>
      </c>
      <c r="E2729" t="s">
        <v>39</v>
      </c>
    </row>
    <row r="2730" spans="1:5" x14ac:dyDescent="0.25">
      <c r="A2730">
        <v>51</v>
      </c>
      <c r="B2730">
        <v>20</v>
      </c>
      <c r="C2730" t="s">
        <v>1894</v>
      </c>
      <c r="D2730" s="5">
        <v>0</v>
      </c>
      <c r="E2730" t="s">
        <v>1895</v>
      </c>
    </row>
    <row r="2731" spans="1:5" hidden="1" x14ac:dyDescent="0.25">
      <c r="A2731">
        <v>51</v>
      </c>
      <c r="B2731">
        <v>20</v>
      </c>
      <c r="C2731" t="s">
        <v>39</v>
      </c>
      <c r="D2731" s="4">
        <v>0</v>
      </c>
      <c r="E2731" t="s">
        <v>39</v>
      </c>
    </row>
    <row r="2732" spans="1:5" x14ac:dyDescent="0.25">
      <c r="A2732">
        <v>51</v>
      </c>
      <c r="B2732">
        <v>20</v>
      </c>
      <c r="C2732" t="s">
        <v>1896</v>
      </c>
      <c r="D2732" s="5">
        <v>0</v>
      </c>
      <c r="E2732" t="s">
        <v>1897</v>
      </c>
    </row>
    <row r="2733" spans="1:5" hidden="1" x14ac:dyDescent="0.25">
      <c r="A2733">
        <v>51</v>
      </c>
      <c r="B2733">
        <v>20</v>
      </c>
      <c r="C2733" t="s">
        <v>39</v>
      </c>
      <c r="D2733" s="4">
        <v>0</v>
      </c>
      <c r="E2733" t="s">
        <v>39</v>
      </c>
    </row>
    <row r="2734" spans="1:5" x14ac:dyDescent="0.25">
      <c r="A2734">
        <v>51</v>
      </c>
      <c r="B2734">
        <v>20</v>
      </c>
      <c r="C2734" t="s">
        <v>1898</v>
      </c>
      <c r="D2734" s="5">
        <v>0</v>
      </c>
      <c r="E2734" t="s">
        <v>1899</v>
      </c>
    </row>
    <row r="2735" spans="1:5" hidden="1" x14ac:dyDescent="0.25">
      <c r="A2735">
        <v>51</v>
      </c>
      <c r="B2735">
        <v>20</v>
      </c>
      <c r="C2735" t="s">
        <v>39</v>
      </c>
      <c r="D2735" s="4">
        <v>0</v>
      </c>
      <c r="E2735" t="s">
        <v>39</v>
      </c>
    </row>
    <row r="2736" spans="1:5" x14ac:dyDescent="0.25">
      <c r="A2736">
        <v>51</v>
      </c>
      <c r="B2736">
        <v>20</v>
      </c>
      <c r="C2736" t="s">
        <v>1900</v>
      </c>
      <c r="D2736" s="5">
        <v>0</v>
      </c>
      <c r="E2736" t="s">
        <v>1901</v>
      </c>
    </row>
    <row r="2737" spans="1:5" x14ac:dyDescent="0.25">
      <c r="A2737">
        <v>52</v>
      </c>
      <c r="B2737">
        <v>1</v>
      </c>
      <c r="C2737" t="s">
        <v>1904</v>
      </c>
      <c r="D2737" s="5">
        <v>0</v>
      </c>
      <c r="E2737" t="s">
        <v>1905</v>
      </c>
    </row>
    <row r="2738" spans="1:5" hidden="1" x14ac:dyDescent="0.25">
      <c r="A2738">
        <v>52</v>
      </c>
      <c r="B2738">
        <v>1</v>
      </c>
      <c r="C2738" t="s">
        <v>39</v>
      </c>
      <c r="D2738" s="4">
        <v>0</v>
      </c>
      <c r="E2738" t="s">
        <v>39</v>
      </c>
    </row>
    <row r="2739" spans="1:5" x14ac:dyDescent="0.25">
      <c r="A2739">
        <v>52</v>
      </c>
      <c r="B2739">
        <v>1</v>
      </c>
      <c r="C2739" t="s">
        <v>1906</v>
      </c>
      <c r="D2739" s="5">
        <v>0</v>
      </c>
      <c r="E2739" t="s">
        <v>1907</v>
      </c>
    </row>
    <row r="2740" spans="1:5" hidden="1" x14ac:dyDescent="0.25">
      <c r="A2740">
        <v>52</v>
      </c>
      <c r="B2740">
        <v>1</v>
      </c>
      <c r="C2740" t="s">
        <v>39</v>
      </c>
      <c r="D2740" s="4">
        <v>0</v>
      </c>
      <c r="E2740" t="s">
        <v>39</v>
      </c>
    </row>
    <row r="2741" spans="1:5" x14ac:dyDescent="0.25">
      <c r="A2741">
        <v>52</v>
      </c>
      <c r="B2741">
        <v>1</v>
      </c>
      <c r="C2741" t="s">
        <v>1908</v>
      </c>
      <c r="D2741" s="5">
        <v>0</v>
      </c>
      <c r="E2741" t="s">
        <v>1909</v>
      </c>
    </row>
    <row r="2742" spans="1:5" hidden="1" x14ac:dyDescent="0.25">
      <c r="A2742">
        <v>52</v>
      </c>
      <c r="B2742">
        <v>1</v>
      </c>
      <c r="C2742" t="s">
        <v>39</v>
      </c>
      <c r="D2742" s="4">
        <v>0</v>
      </c>
      <c r="E2742" t="s">
        <v>39</v>
      </c>
    </row>
    <row r="2743" spans="1:5" hidden="1" x14ac:dyDescent="0.25">
      <c r="A2743">
        <v>52</v>
      </c>
      <c r="B2743">
        <v>4</v>
      </c>
      <c r="C2743" t="s">
        <v>39</v>
      </c>
      <c r="D2743" s="4">
        <v>0</v>
      </c>
      <c r="E2743" t="s">
        <v>39</v>
      </c>
    </row>
    <row r="2744" spans="1:5" x14ac:dyDescent="0.25">
      <c r="A2744">
        <v>52</v>
      </c>
      <c r="B2744">
        <v>4</v>
      </c>
      <c r="C2744" t="s">
        <v>2654</v>
      </c>
      <c r="D2744" s="5">
        <v>0</v>
      </c>
      <c r="E2744" t="s">
        <v>1910</v>
      </c>
    </row>
    <row r="2745" spans="1:5" hidden="1" x14ac:dyDescent="0.25">
      <c r="A2745">
        <v>52</v>
      </c>
      <c r="B2745">
        <v>4</v>
      </c>
      <c r="C2745" t="s">
        <v>39</v>
      </c>
      <c r="D2745" s="4">
        <v>0</v>
      </c>
      <c r="E2745" t="s">
        <v>39</v>
      </c>
    </row>
    <row r="2746" spans="1:5" x14ac:dyDescent="0.25">
      <c r="A2746">
        <v>52</v>
      </c>
      <c r="B2746">
        <v>4</v>
      </c>
      <c r="C2746" t="s">
        <v>1911</v>
      </c>
      <c r="D2746" s="5">
        <v>0</v>
      </c>
      <c r="E2746" t="s">
        <v>1912</v>
      </c>
    </row>
    <row r="2747" spans="1:5" hidden="1" x14ac:dyDescent="0.25">
      <c r="A2747">
        <v>52</v>
      </c>
      <c r="B2747">
        <v>4</v>
      </c>
      <c r="C2747" t="s">
        <v>39</v>
      </c>
      <c r="D2747" s="4">
        <v>0</v>
      </c>
      <c r="E2747" t="s">
        <v>39</v>
      </c>
    </row>
    <row r="2748" spans="1:5" x14ac:dyDescent="0.25">
      <c r="A2748">
        <v>52</v>
      </c>
      <c r="B2748">
        <v>4</v>
      </c>
      <c r="C2748" t="s">
        <v>2655</v>
      </c>
      <c r="D2748" s="5">
        <v>0</v>
      </c>
      <c r="E2748" t="s">
        <v>1913</v>
      </c>
    </row>
    <row r="2749" spans="1:5" hidden="1" x14ac:dyDescent="0.25">
      <c r="A2749">
        <v>52</v>
      </c>
      <c r="B2749">
        <v>4</v>
      </c>
      <c r="C2749" t="s">
        <v>39</v>
      </c>
      <c r="D2749" s="4">
        <v>0</v>
      </c>
      <c r="E2749" t="s">
        <v>39</v>
      </c>
    </row>
    <row r="2750" spans="1:5" hidden="1" x14ac:dyDescent="0.25">
      <c r="A2750">
        <v>52</v>
      </c>
      <c r="B2750">
        <v>7</v>
      </c>
      <c r="C2750" t="s">
        <v>39</v>
      </c>
      <c r="D2750" s="4">
        <v>0</v>
      </c>
      <c r="E2750" t="s">
        <v>39</v>
      </c>
    </row>
    <row r="2751" spans="1:5" x14ac:dyDescent="0.25">
      <c r="A2751">
        <v>52</v>
      </c>
      <c r="B2751">
        <v>7</v>
      </c>
      <c r="C2751" t="s">
        <v>1914</v>
      </c>
      <c r="D2751" s="5">
        <v>0</v>
      </c>
      <c r="E2751" t="s">
        <v>1915</v>
      </c>
    </row>
    <row r="2752" spans="1:5" hidden="1" x14ac:dyDescent="0.25">
      <c r="A2752">
        <v>52</v>
      </c>
      <c r="B2752">
        <v>7</v>
      </c>
      <c r="C2752" t="s">
        <v>39</v>
      </c>
      <c r="D2752" s="4">
        <v>0</v>
      </c>
      <c r="E2752" t="s">
        <v>39</v>
      </c>
    </row>
    <row r="2753" spans="1:5" x14ac:dyDescent="0.25">
      <c r="A2753">
        <v>52</v>
      </c>
      <c r="B2753">
        <v>7</v>
      </c>
      <c r="C2753" t="s">
        <v>1916</v>
      </c>
      <c r="D2753" s="5">
        <v>0</v>
      </c>
      <c r="E2753" t="s">
        <v>1917</v>
      </c>
    </row>
    <row r="2754" spans="1:5" hidden="1" x14ac:dyDescent="0.25">
      <c r="A2754">
        <v>52</v>
      </c>
      <c r="B2754">
        <v>7</v>
      </c>
      <c r="C2754" t="s">
        <v>39</v>
      </c>
      <c r="D2754" s="4">
        <v>0</v>
      </c>
      <c r="E2754" t="s">
        <v>39</v>
      </c>
    </row>
    <row r="2755" spans="1:5" x14ac:dyDescent="0.25">
      <c r="A2755">
        <v>52</v>
      </c>
      <c r="B2755">
        <v>7</v>
      </c>
      <c r="C2755" t="s">
        <v>2656</v>
      </c>
      <c r="D2755" s="5">
        <v>0</v>
      </c>
      <c r="E2755" t="s">
        <v>1918</v>
      </c>
    </row>
    <row r="2756" spans="1:5" hidden="1" x14ac:dyDescent="0.25">
      <c r="A2756">
        <v>52</v>
      </c>
      <c r="B2756">
        <v>7</v>
      </c>
      <c r="C2756" t="s">
        <v>39</v>
      </c>
      <c r="D2756" s="4">
        <v>0</v>
      </c>
      <c r="E2756" t="s">
        <v>39</v>
      </c>
    </row>
    <row r="2757" spans="1:5" hidden="1" x14ac:dyDescent="0.25">
      <c r="A2757">
        <v>52</v>
      </c>
      <c r="B2757">
        <v>10</v>
      </c>
      <c r="C2757" t="s">
        <v>39</v>
      </c>
      <c r="D2757" s="4">
        <v>0</v>
      </c>
      <c r="E2757" t="s">
        <v>39</v>
      </c>
    </row>
    <row r="2758" spans="1:5" x14ac:dyDescent="0.25">
      <c r="A2758">
        <v>52</v>
      </c>
      <c r="B2758">
        <v>10</v>
      </c>
      <c r="C2758" t="s">
        <v>1919</v>
      </c>
      <c r="D2758" s="5">
        <v>0</v>
      </c>
      <c r="E2758" t="s">
        <v>1920</v>
      </c>
    </row>
    <row r="2759" spans="1:5" hidden="1" x14ac:dyDescent="0.25">
      <c r="A2759">
        <v>52</v>
      </c>
      <c r="B2759">
        <v>10</v>
      </c>
      <c r="C2759" t="s">
        <v>39</v>
      </c>
      <c r="D2759" s="4">
        <v>0</v>
      </c>
      <c r="E2759" t="s">
        <v>39</v>
      </c>
    </row>
    <row r="2760" spans="1:5" x14ac:dyDescent="0.25">
      <c r="A2760">
        <v>52</v>
      </c>
      <c r="B2760">
        <v>10</v>
      </c>
      <c r="C2760" t="s">
        <v>1921</v>
      </c>
      <c r="D2760" s="5">
        <v>0</v>
      </c>
      <c r="E2760" t="s">
        <v>1922</v>
      </c>
    </row>
    <row r="2761" spans="1:5" hidden="1" x14ac:dyDescent="0.25">
      <c r="A2761">
        <v>52</v>
      </c>
      <c r="B2761">
        <v>10</v>
      </c>
      <c r="C2761" t="s">
        <v>39</v>
      </c>
      <c r="D2761" s="4">
        <v>0</v>
      </c>
      <c r="E2761" t="s">
        <v>39</v>
      </c>
    </row>
    <row r="2762" spans="1:5" hidden="1" x14ac:dyDescent="0.25">
      <c r="A2762">
        <v>52</v>
      </c>
      <c r="B2762">
        <v>13</v>
      </c>
      <c r="C2762" t="s">
        <v>39</v>
      </c>
      <c r="D2762" s="4">
        <v>0</v>
      </c>
      <c r="E2762" t="s">
        <v>39</v>
      </c>
    </row>
    <row r="2763" spans="1:5" x14ac:dyDescent="0.25">
      <c r="A2763">
        <v>52</v>
      </c>
      <c r="B2763">
        <v>13</v>
      </c>
      <c r="C2763" t="s">
        <v>1923</v>
      </c>
      <c r="D2763" s="5">
        <v>0</v>
      </c>
      <c r="E2763" t="s">
        <v>1924</v>
      </c>
    </row>
    <row r="2764" spans="1:5" hidden="1" x14ac:dyDescent="0.25">
      <c r="A2764">
        <v>52</v>
      </c>
      <c r="B2764">
        <v>13</v>
      </c>
      <c r="C2764" t="s">
        <v>39</v>
      </c>
      <c r="D2764" s="4">
        <v>0</v>
      </c>
      <c r="E2764" t="s">
        <v>39</v>
      </c>
    </row>
    <row r="2765" spans="1:5" x14ac:dyDescent="0.25">
      <c r="A2765">
        <v>52</v>
      </c>
      <c r="B2765">
        <v>13</v>
      </c>
      <c r="C2765" t="s">
        <v>2657</v>
      </c>
      <c r="D2765" s="5">
        <v>0</v>
      </c>
      <c r="E2765" t="s">
        <v>1925</v>
      </c>
    </row>
    <row r="2766" spans="1:5" hidden="1" x14ac:dyDescent="0.25">
      <c r="A2766">
        <v>52</v>
      </c>
      <c r="B2766">
        <v>13</v>
      </c>
      <c r="C2766" t="s">
        <v>39</v>
      </c>
      <c r="D2766" s="4">
        <v>0</v>
      </c>
      <c r="E2766" t="s">
        <v>39</v>
      </c>
    </row>
    <row r="2767" spans="1:5" x14ac:dyDescent="0.25">
      <c r="A2767">
        <v>52</v>
      </c>
      <c r="B2767">
        <v>13</v>
      </c>
      <c r="C2767" t="s">
        <v>1926</v>
      </c>
      <c r="D2767" s="5">
        <v>0</v>
      </c>
      <c r="E2767" t="s">
        <v>1927</v>
      </c>
    </row>
    <row r="2768" spans="1:5" hidden="1" x14ac:dyDescent="0.25">
      <c r="A2768">
        <v>52</v>
      </c>
      <c r="B2768">
        <v>13</v>
      </c>
      <c r="C2768" t="s">
        <v>39</v>
      </c>
      <c r="D2768" s="4">
        <v>0</v>
      </c>
      <c r="E2768" t="s">
        <v>39</v>
      </c>
    </row>
    <row r="2769" spans="1:5" hidden="1" x14ac:dyDescent="0.25">
      <c r="A2769">
        <v>52</v>
      </c>
      <c r="B2769">
        <v>16</v>
      </c>
      <c r="C2769" t="s">
        <v>39</v>
      </c>
      <c r="D2769" s="4">
        <v>0</v>
      </c>
      <c r="E2769" t="s">
        <v>39</v>
      </c>
    </row>
    <row r="2770" spans="1:5" x14ac:dyDescent="0.25">
      <c r="A2770">
        <v>52</v>
      </c>
      <c r="B2770">
        <v>16</v>
      </c>
      <c r="C2770" t="s">
        <v>650</v>
      </c>
      <c r="D2770" s="5">
        <v>0</v>
      </c>
      <c r="E2770" t="s">
        <v>1090</v>
      </c>
    </row>
    <row r="2771" spans="1:5" hidden="1" x14ac:dyDescent="0.25">
      <c r="A2771">
        <v>52</v>
      </c>
      <c r="B2771">
        <v>16</v>
      </c>
      <c r="C2771" t="s">
        <v>39</v>
      </c>
      <c r="D2771" s="4">
        <v>0</v>
      </c>
      <c r="E2771" t="s">
        <v>39</v>
      </c>
    </row>
    <row r="2772" spans="1:5" x14ac:dyDescent="0.25">
      <c r="A2772">
        <v>52</v>
      </c>
      <c r="B2772">
        <v>16</v>
      </c>
      <c r="C2772" t="s">
        <v>1928</v>
      </c>
      <c r="D2772" s="5">
        <v>0</v>
      </c>
      <c r="E2772" t="s">
        <v>2658</v>
      </c>
    </row>
    <row r="2773" spans="1:5" hidden="1" x14ac:dyDescent="0.25">
      <c r="A2773">
        <v>52</v>
      </c>
      <c r="B2773">
        <v>16</v>
      </c>
      <c r="C2773" t="s">
        <v>39</v>
      </c>
      <c r="D2773" s="4">
        <v>0</v>
      </c>
      <c r="E2773" t="s">
        <v>39</v>
      </c>
    </row>
    <row r="2774" spans="1:5" x14ac:dyDescent="0.25">
      <c r="A2774">
        <v>52</v>
      </c>
      <c r="B2774">
        <v>16</v>
      </c>
      <c r="C2774" t="s">
        <v>1929</v>
      </c>
      <c r="D2774" s="5">
        <v>0</v>
      </c>
      <c r="E2774" t="s">
        <v>1930</v>
      </c>
    </row>
    <row r="2775" spans="1:5" hidden="1" x14ac:dyDescent="0.25">
      <c r="A2775">
        <v>52</v>
      </c>
      <c r="B2775">
        <v>16</v>
      </c>
      <c r="C2775" t="s">
        <v>39</v>
      </c>
      <c r="D2775" s="4">
        <v>0</v>
      </c>
      <c r="E2775" t="s">
        <v>39</v>
      </c>
    </row>
    <row r="2776" spans="1:5" x14ac:dyDescent="0.25">
      <c r="A2776">
        <v>52</v>
      </c>
      <c r="B2776">
        <v>16</v>
      </c>
      <c r="C2776" t="s">
        <v>1931</v>
      </c>
      <c r="D2776" s="5">
        <v>0</v>
      </c>
      <c r="E2776" t="s">
        <v>1932</v>
      </c>
    </row>
    <row r="2777" spans="1:5" hidden="1" x14ac:dyDescent="0.25">
      <c r="A2777">
        <v>52</v>
      </c>
      <c r="B2777">
        <v>16</v>
      </c>
      <c r="C2777" t="s">
        <v>39</v>
      </c>
      <c r="D2777" s="4">
        <v>0</v>
      </c>
      <c r="E2777" t="s">
        <v>39</v>
      </c>
    </row>
    <row r="2778" spans="1:5" hidden="1" x14ac:dyDescent="0.25">
      <c r="A2778">
        <v>52</v>
      </c>
      <c r="B2778">
        <v>20</v>
      </c>
      <c r="C2778" t="s">
        <v>39</v>
      </c>
      <c r="D2778" s="4">
        <v>0</v>
      </c>
      <c r="E2778" t="s">
        <v>39</v>
      </c>
    </row>
    <row r="2779" spans="1:5" x14ac:dyDescent="0.25">
      <c r="A2779">
        <v>52</v>
      </c>
      <c r="B2779">
        <v>20</v>
      </c>
      <c r="C2779" t="s">
        <v>1933</v>
      </c>
      <c r="D2779" s="5">
        <v>0</v>
      </c>
      <c r="E2779" t="s">
        <v>2659</v>
      </c>
    </row>
    <row r="2780" spans="1:5" hidden="1" x14ac:dyDescent="0.25">
      <c r="A2780">
        <v>52</v>
      </c>
      <c r="B2780">
        <v>20</v>
      </c>
      <c r="C2780" t="s">
        <v>39</v>
      </c>
      <c r="D2780" s="4">
        <v>0</v>
      </c>
      <c r="E2780" t="s">
        <v>39</v>
      </c>
    </row>
    <row r="2781" spans="1:5" x14ac:dyDescent="0.25">
      <c r="A2781">
        <v>52</v>
      </c>
      <c r="B2781">
        <v>20</v>
      </c>
      <c r="C2781" t="s">
        <v>1934</v>
      </c>
      <c r="D2781" s="5">
        <v>0</v>
      </c>
      <c r="E2781" t="s">
        <v>1935</v>
      </c>
    </row>
    <row r="2782" spans="1:5" hidden="1" x14ac:dyDescent="0.25">
      <c r="A2782">
        <v>52</v>
      </c>
      <c r="B2782">
        <v>20</v>
      </c>
      <c r="C2782" t="s">
        <v>39</v>
      </c>
      <c r="D2782" s="4">
        <v>0</v>
      </c>
      <c r="E2782" t="s">
        <v>39</v>
      </c>
    </row>
    <row r="2783" spans="1:5" x14ac:dyDescent="0.25">
      <c r="A2783">
        <v>52</v>
      </c>
      <c r="B2783">
        <v>20</v>
      </c>
      <c r="C2783" t="s">
        <v>1936</v>
      </c>
      <c r="D2783" s="5">
        <v>0</v>
      </c>
      <c r="E2783" t="s">
        <v>1937</v>
      </c>
    </row>
    <row r="2784" spans="1:5" hidden="1" x14ac:dyDescent="0.25">
      <c r="A2784">
        <v>52</v>
      </c>
      <c r="B2784">
        <v>20</v>
      </c>
      <c r="C2784" t="s">
        <v>39</v>
      </c>
      <c r="D2784" s="4">
        <v>0</v>
      </c>
      <c r="E2784" t="s">
        <v>39</v>
      </c>
    </row>
    <row r="2785" spans="1:5" x14ac:dyDescent="0.25">
      <c r="A2785">
        <v>52</v>
      </c>
      <c r="B2785">
        <v>20</v>
      </c>
      <c r="C2785" t="s">
        <v>1938</v>
      </c>
      <c r="D2785" s="5">
        <v>10</v>
      </c>
      <c r="E2785" t="s">
        <v>1939</v>
      </c>
    </row>
    <row r="2786" spans="1:5" x14ac:dyDescent="0.25">
      <c r="A2786">
        <v>53</v>
      </c>
      <c r="B2786">
        <v>1</v>
      </c>
      <c r="C2786" t="s">
        <v>1940</v>
      </c>
      <c r="D2786" s="5">
        <v>0</v>
      </c>
      <c r="E2786" t="s">
        <v>1941</v>
      </c>
    </row>
    <row r="2787" spans="1:5" hidden="1" x14ac:dyDescent="0.25">
      <c r="A2787">
        <v>53</v>
      </c>
      <c r="B2787">
        <v>1</v>
      </c>
      <c r="C2787" t="s">
        <v>39</v>
      </c>
      <c r="D2787" s="4">
        <v>0</v>
      </c>
      <c r="E2787" t="s">
        <v>39</v>
      </c>
    </row>
    <row r="2788" spans="1:5" x14ac:dyDescent="0.25">
      <c r="A2788">
        <v>53</v>
      </c>
      <c r="B2788">
        <v>1</v>
      </c>
      <c r="C2788" t="s">
        <v>1942</v>
      </c>
      <c r="D2788" s="5">
        <v>0</v>
      </c>
      <c r="E2788" t="s">
        <v>1943</v>
      </c>
    </row>
    <row r="2789" spans="1:5" hidden="1" x14ac:dyDescent="0.25">
      <c r="A2789">
        <v>53</v>
      </c>
      <c r="B2789">
        <v>1</v>
      </c>
      <c r="C2789" t="s">
        <v>39</v>
      </c>
      <c r="D2789" s="4">
        <v>0</v>
      </c>
      <c r="E2789" t="s">
        <v>39</v>
      </c>
    </row>
    <row r="2790" spans="1:5" x14ac:dyDescent="0.25">
      <c r="A2790">
        <v>53</v>
      </c>
      <c r="B2790">
        <v>1</v>
      </c>
      <c r="C2790" t="s">
        <v>1944</v>
      </c>
      <c r="D2790" s="5">
        <v>0.5</v>
      </c>
      <c r="E2790" t="s">
        <v>1945</v>
      </c>
    </row>
    <row r="2791" spans="1:5" hidden="1" x14ac:dyDescent="0.25">
      <c r="A2791">
        <v>53</v>
      </c>
      <c r="B2791">
        <v>1</v>
      </c>
      <c r="C2791" t="s">
        <v>39</v>
      </c>
      <c r="D2791" s="4">
        <v>0</v>
      </c>
      <c r="E2791" t="s">
        <v>39</v>
      </c>
    </row>
    <row r="2792" spans="1:5" hidden="1" x14ac:dyDescent="0.25">
      <c r="A2792">
        <v>53</v>
      </c>
      <c r="B2792">
        <v>1</v>
      </c>
      <c r="C2792" t="s">
        <v>39</v>
      </c>
      <c r="D2792" s="4">
        <v>0</v>
      </c>
      <c r="E2792" t="s">
        <v>39</v>
      </c>
    </row>
    <row r="2793" spans="1:5" hidden="1" x14ac:dyDescent="0.25">
      <c r="A2793">
        <v>53</v>
      </c>
      <c r="B2793">
        <v>4</v>
      </c>
      <c r="C2793" t="s">
        <v>39</v>
      </c>
      <c r="D2793" s="4">
        <v>0</v>
      </c>
      <c r="E2793" t="s">
        <v>39</v>
      </c>
    </row>
    <row r="2794" spans="1:5" x14ac:dyDescent="0.25">
      <c r="A2794">
        <v>53</v>
      </c>
      <c r="B2794">
        <v>4</v>
      </c>
      <c r="C2794" t="s">
        <v>1946</v>
      </c>
      <c r="D2794" s="5">
        <v>30</v>
      </c>
      <c r="E2794" t="s">
        <v>2660</v>
      </c>
    </row>
    <row r="2795" spans="1:5" hidden="1" x14ac:dyDescent="0.25">
      <c r="A2795">
        <v>53</v>
      </c>
      <c r="B2795">
        <v>4</v>
      </c>
      <c r="C2795" t="s">
        <v>39</v>
      </c>
      <c r="D2795" s="4">
        <v>0</v>
      </c>
      <c r="E2795" t="s">
        <v>39</v>
      </c>
    </row>
    <row r="2796" spans="1:5" hidden="1" x14ac:dyDescent="0.25">
      <c r="A2796">
        <v>53</v>
      </c>
      <c r="B2796">
        <v>4</v>
      </c>
      <c r="C2796" t="s">
        <v>39</v>
      </c>
      <c r="D2796" s="4">
        <v>0</v>
      </c>
      <c r="E2796" t="s">
        <v>39</v>
      </c>
    </row>
    <row r="2797" spans="1:5" x14ac:dyDescent="0.25">
      <c r="A2797">
        <v>53</v>
      </c>
      <c r="B2797">
        <v>4</v>
      </c>
      <c r="C2797" t="s">
        <v>1947</v>
      </c>
      <c r="D2797" s="5">
        <v>0</v>
      </c>
      <c r="E2797" t="s">
        <v>1948</v>
      </c>
    </row>
    <row r="2798" spans="1:5" hidden="1" x14ac:dyDescent="0.25">
      <c r="A2798">
        <v>53</v>
      </c>
      <c r="B2798">
        <v>4</v>
      </c>
      <c r="C2798" t="s">
        <v>39</v>
      </c>
      <c r="D2798" s="4">
        <v>0</v>
      </c>
      <c r="E2798" t="s">
        <v>39</v>
      </c>
    </row>
    <row r="2799" spans="1:5" x14ac:dyDescent="0.25">
      <c r="A2799">
        <v>53</v>
      </c>
      <c r="B2799">
        <v>4</v>
      </c>
      <c r="C2799" t="s">
        <v>1949</v>
      </c>
      <c r="D2799" s="5">
        <v>0</v>
      </c>
      <c r="E2799" t="s">
        <v>2661</v>
      </c>
    </row>
    <row r="2800" spans="1:5" hidden="1" x14ac:dyDescent="0.25">
      <c r="A2800">
        <v>53</v>
      </c>
      <c r="B2800">
        <v>4</v>
      </c>
      <c r="C2800" t="s">
        <v>39</v>
      </c>
      <c r="D2800" s="4">
        <v>0</v>
      </c>
      <c r="E2800" t="s">
        <v>39</v>
      </c>
    </row>
    <row r="2801" spans="1:5" hidden="1" x14ac:dyDescent="0.25">
      <c r="A2801">
        <v>53</v>
      </c>
      <c r="B2801">
        <v>7</v>
      </c>
      <c r="C2801" t="s">
        <v>39</v>
      </c>
      <c r="D2801" s="4">
        <v>0</v>
      </c>
      <c r="E2801" t="s">
        <v>39</v>
      </c>
    </row>
    <row r="2802" spans="1:5" x14ac:dyDescent="0.25">
      <c r="A2802">
        <v>53</v>
      </c>
      <c r="B2802">
        <v>7</v>
      </c>
      <c r="C2802" t="s">
        <v>1950</v>
      </c>
      <c r="D2802" s="5">
        <v>0</v>
      </c>
      <c r="E2802" t="s">
        <v>1951</v>
      </c>
    </row>
    <row r="2803" spans="1:5" hidden="1" x14ac:dyDescent="0.25">
      <c r="A2803">
        <v>53</v>
      </c>
      <c r="B2803">
        <v>7</v>
      </c>
      <c r="C2803" t="s">
        <v>39</v>
      </c>
      <c r="D2803" s="4">
        <v>0</v>
      </c>
      <c r="E2803" t="s">
        <v>39</v>
      </c>
    </row>
    <row r="2804" spans="1:5" x14ac:dyDescent="0.25">
      <c r="A2804">
        <v>53</v>
      </c>
      <c r="B2804">
        <v>7</v>
      </c>
      <c r="C2804" t="s">
        <v>1952</v>
      </c>
      <c r="D2804" s="5">
        <v>0</v>
      </c>
      <c r="E2804" t="s">
        <v>1953</v>
      </c>
    </row>
    <row r="2805" spans="1:5" hidden="1" x14ac:dyDescent="0.25">
      <c r="A2805">
        <v>53</v>
      </c>
      <c r="B2805">
        <v>7</v>
      </c>
      <c r="C2805" t="s">
        <v>39</v>
      </c>
      <c r="D2805" s="4">
        <v>0</v>
      </c>
      <c r="E2805" t="s">
        <v>39</v>
      </c>
    </row>
    <row r="2806" spans="1:5" x14ac:dyDescent="0.25">
      <c r="A2806">
        <v>53</v>
      </c>
      <c r="B2806">
        <v>7</v>
      </c>
      <c r="C2806" t="s">
        <v>1954</v>
      </c>
      <c r="D2806" s="5">
        <v>0</v>
      </c>
      <c r="E2806" t="s">
        <v>1955</v>
      </c>
    </row>
    <row r="2807" spans="1:5" hidden="1" x14ac:dyDescent="0.25">
      <c r="A2807">
        <v>53</v>
      </c>
      <c r="B2807">
        <v>7</v>
      </c>
      <c r="C2807" t="s">
        <v>39</v>
      </c>
      <c r="D2807" s="4">
        <v>0</v>
      </c>
      <c r="E2807" t="s">
        <v>39</v>
      </c>
    </row>
    <row r="2808" spans="1:5" hidden="1" x14ac:dyDescent="0.25">
      <c r="A2808">
        <v>53</v>
      </c>
      <c r="B2808">
        <v>10</v>
      </c>
      <c r="C2808" t="s">
        <v>39</v>
      </c>
      <c r="D2808" s="4">
        <v>0</v>
      </c>
      <c r="E2808" t="s">
        <v>39</v>
      </c>
    </row>
    <row r="2809" spans="1:5" x14ac:dyDescent="0.25">
      <c r="A2809">
        <v>53</v>
      </c>
      <c r="B2809">
        <v>10</v>
      </c>
      <c r="C2809" t="s">
        <v>1956</v>
      </c>
      <c r="D2809" s="5">
        <v>0</v>
      </c>
      <c r="E2809" t="s">
        <v>1957</v>
      </c>
    </row>
    <row r="2810" spans="1:5" hidden="1" x14ac:dyDescent="0.25">
      <c r="A2810">
        <v>53</v>
      </c>
      <c r="B2810">
        <v>10</v>
      </c>
      <c r="C2810" t="s">
        <v>39</v>
      </c>
      <c r="D2810" s="4">
        <v>0</v>
      </c>
      <c r="E2810" t="s">
        <v>39</v>
      </c>
    </row>
    <row r="2811" spans="1:5" x14ac:dyDescent="0.25">
      <c r="A2811">
        <v>53</v>
      </c>
      <c r="B2811">
        <v>10</v>
      </c>
      <c r="C2811" t="s">
        <v>1958</v>
      </c>
      <c r="D2811" s="5">
        <v>0</v>
      </c>
      <c r="E2811" t="s">
        <v>2662</v>
      </c>
    </row>
    <row r="2812" spans="1:5" hidden="1" x14ac:dyDescent="0.25">
      <c r="A2812">
        <v>53</v>
      </c>
      <c r="B2812">
        <v>10</v>
      </c>
      <c r="C2812" t="s">
        <v>39</v>
      </c>
      <c r="D2812" s="4">
        <v>0</v>
      </c>
      <c r="E2812" t="s">
        <v>39</v>
      </c>
    </row>
    <row r="2813" spans="1:5" hidden="1" x14ac:dyDescent="0.25">
      <c r="A2813">
        <v>53</v>
      </c>
      <c r="B2813">
        <v>13</v>
      </c>
      <c r="C2813" t="s">
        <v>39</v>
      </c>
      <c r="D2813" s="4">
        <v>0</v>
      </c>
      <c r="E2813" t="s">
        <v>39</v>
      </c>
    </row>
    <row r="2814" spans="1:5" x14ac:dyDescent="0.25">
      <c r="A2814">
        <v>53</v>
      </c>
      <c r="B2814">
        <v>13</v>
      </c>
      <c r="C2814" t="s">
        <v>1959</v>
      </c>
      <c r="D2814" s="5">
        <v>0</v>
      </c>
      <c r="E2814" t="s">
        <v>2663</v>
      </c>
    </row>
    <row r="2815" spans="1:5" hidden="1" x14ac:dyDescent="0.25">
      <c r="A2815">
        <v>53</v>
      </c>
      <c r="B2815">
        <v>13</v>
      </c>
      <c r="C2815" t="s">
        <v>39</v>
      </c>
      <c r="D2815" s="4">
        <v>0</v>
      </c>
      <c r="E2815" t="s">
        <v>39</v>
      </c>
    </row>
    <row r="2816" spans="1:5" x14ac:dyDescent="0.25">
      <c r="A2816">
        <v>53</v>
      </c>
      <c r="B2816">
        <v>13</v>
      </c>
      <c r="C2816" t="s">
        <v>1960</v>
      </c>
      <c r="D2816" s="5">
        <v>0</v>
      </c>
      <c r="E2816" t="s">
        <v>1961</v>
      </c>
    </row>
    <row r="2817" spans="1:5" hidden="1" x14ac:dyDescent="0.25">
      <c r="A2817">
        <v>53</v>
      </c>
      <c r="B2817">
        <v>13</v>
      </c>
      <c r="C2817" t="s">
        <v>39</v>
      </c>
      <c r="D2817" s="4">
        <v>0</v>
      </c>
      <c r="E2817" t="s">
        <v>39</v>
      </c>
    </row>
    <row r="2818" spans="1:5" x14ac:dyDescent="0.25">
      <c r="A2818">
        <v>53</v>
      </c>
      <c r="B2818">
        <v>13</v>
      </c>
      <c r="C2818" t="s">
        <v>812</v>
      </c>
      <c r="D2818" s="5">
        <v>0</v>
      </c>
      <c r="E2818" t="s">
        <v>813</v>
      </c>
    </row>
    <row r="2819" spans="1:5" hidden="1" x14ac:dyDescent="0.25">
      <c r="A2819">
        <v>53</v>
      </c>
      <c r="B2819">
        <v>13</v>
      </c>
      <c r="C2819" t="s">
        <v>39</v>
      </c>
      <c r="D2819" s="4">
        <v>0</v>
      </c>
      <c r="E2819" t="s">
        <v>39</v>
      </c>
    </row>
    <row r="2820" spans="1:5" hidden="1" x14ac:dyDescent="0.25">
      <c r="A2820">
        <v>53</v>
      </c>
      <c r="B2820">
        <v>16</v>
      </c>
      <c r="C2820" t="s">
        <v>39</v>
      </c>
      <c r="D2820" s="4">
        <v>0</v>
      </c>
      <c r="E2820" t="s">
        <v>39</v>
      </c>
    </row>
    <row r="2821" spans="1:5" x14ac:dyDescent="0.25">
      <c r="A2821">
        <v>53</v>
      </c>
      <c r="B2821">
        <v>16</v>
      </c>
      <c r="C2821" t="s">
        <v>1962</v>
      </c>
      <c r="D2821" s="5">
        <v>0</v>
      </c>
      <c r="E2821" t="s">
        <v>1963</v>
      </c>
    </row>
    <row r="2822" spans="1:5" hidden="1" x14ac:dyDescent="0.25">
      <c r="A2822">
        <v>53</v>
      </c>
      <c r="B2822">
        <v>16</v>
      </c>
      <c r="C2822" t="s">
        <v>39</v>
      </c>
      <c r="D2822" s="4">
        <v>0</v>
      </c>
      <c r="E2822" t="s">
        <v>39</v>
      </c>
    </row>
    <row r="2823" spans="1:5" x14ac:dyDescent="0.25">
      <c r="A2823">
        <v>53</v>
      </c>
      <c r="B2823">
        <v>16</v>
      </c>
      <c r="C2823" t="s">
        <v>1964</v>
      </c>
      <c r="D2823" s="5">
        <v>0</v>
      </c>
      <c r="E2823" t="s">
        <v>1965</v>
      </c>
    </row>
    <row r="2824" spans="1:5" hidden="1" x14ac:dyDescent="0.25">
      <c r="A2824">
        <v>53</v>
      </c>
      <c r="B2824">
        <v>16</v>
      </c>
      <c r="C2824" t="s">
        <v>39</v>
      </c>
      <c r="D2824" s="4">
        <v>0</v>
      </c>
      <c r="E2824" t="s">
        <v>39</v>
      </c>
    </row>
    <row r="2825" spans="1:5" x14ac:dyDescent="0.25">
      <c r="A2825">
        <v>53</v>
      </c>
      <c r="B2825">
        <v>16</v>
      </c>
      <c r="C2825" t="s">
        <v>1966</v>
      </c>
      <c r="D2825" s="5">
        <v>0</v>
      </c>
      <c r="E2825" t="s">
        <v>1967</v>
      </c>
    </row>
    <row r="2826" spans="1:5" hidden="1" x14ac:dyDescent="0.25">
      <c r="A2826">
        <v>53</v>
      </c>
      <c r="B2826">
        <v>16</v>
      </c>
      <c r="C2826" t="s">
        <v>39</v>
      </c>
      <c r="D2826" s="4">
        <v>0</v>
      </c>
      <c r="E2826" t="s">
        <v>39</v>
      </c>
    </row>
    <row r="2827" spans="1:5" hidden="1" x14ac:dyDescent="0.25">
      <c r="A2827">
        <v>53</v>
      </c>
      <c r="B2827">
        <v>20</v>
      </c>
      <c r="C2827" t="s">
        <v>39</v>
      </c>
      <c r="D2827" s="4">
        <v>0</v>
      </c>
      <c r="E2827" t="s">
        <v>39</v>
      </c>
    </row>
    <row r="2828" spans="1:5" x14ac:dyDescent="0.25">
      <c r="A2828">
        <v>53</v>
      </c>
      <c r="B2828">
        <v>20</v>
      </c>
      <c r="C2828" t="s">
        <v>1968</v>
      </c>
      <c r="D2828" s="5">
        <v>0</v>
      </c>
      <c r="E2828" t="s">
        <v>1969</v>
      </c>
    </row>
    <row r="2829" spans="1:5" hidden="1" x14ac:dyDescent="0.25">
      <c r="A2829">
        <v>53</v>
      </c>
      <c r="B2829">
        <v>20</v>
      </c>
      <c r="C2829" t="s">
        <v>39</v>
      </c>
      <c r="D2829" s="4">
        <v>0</v>
      </c>
      <c r="E2829" t="s">
        <v>39</v>
      </c>
    </row>
    <row r="2830" spans="1:5" x14ac:dyDescent="0.25">
      <c r="A2830">
        <v>53</v>
      </c>
      <c r="B2830">
        <v>20</v>
      </c>
      <c r="C2830" t="s">
        <v>1970</v>
      </c>
      <c r="D2830" s="5">
        <v>0</v>
      </c>
      <c r="E2830" t="s">
        <v>1971</v>
      </c>
    </row>
    <row r="2831" spans="1:5" hidden="1" x14ac:dyDescent="0.25">
      <c r="A2831">
        <v>53</v>
      </c>
      <c r="B2831">
        <v>20</v>
      </c>
      <c r="C2831" t="s">
        <v>39</v>
      </c>
      <c r="D2831" s="4">
        <v>0</v>
      </c>
      <c r="E2831" t="s">
        <v>39</v>
      </c>
    </row>
    <row r="2832" spans="1:5" x14ac:dyDescent="0.25">
      <c r="A2832">
        <v>53</v>
      </c>
      <c r="B2832">
        <v>20</v>
      </c>
      <c r="C2832" t="s">
        <v>1095</v>
      </c>
      <c r="D2832" s="5">
        <v>0</v>
      </c>
      <c r="E2832" t="s">
        <v>1526</v>
      </c>
    </row>
    <row r="2833" spans="1:5" x14ac:dyDescent="0.25">
      <c r="A2833">
        <v>54</v>
      </c>
      <c r="B2833">
        <v>1</v>
      </c>
      <c r="C2833" t="s">
        <v>1972</v>
      </c>
      <c r="D2833" s="5">
        <v>0</v>
      </c>
      <c r="E2833" t="s">
        <v>1973</v>
      </c>
    </row>
    <row r="2834" spans="1:5" hidden="1" x14ac:dyDescent="0.25">
      <c r="A2834">
        <v>54</v>
      </c>
      <c r="B2834">
        <v>1</v>
      </c>
      <c r="C2834" t="s">
        <v>39</v>
      </c>
      <c r="D2834" s="4">
        <v>0</v>
      </c>
      <c r="E2834" t="s">
        <v>39</v>
      </c>
    </row>
    <row r="2835" spans="1:5" x14ac:dyDescent="0.25">
      <c r="A2835">
        <v>54</v>
      </c>
      <c r="B2835">
        <v>1</v>
      </c>
      <c r="C2835" t="s">
        <v>1974</v>
      </c>
      <c r="D2835" s="5">
        <v>15</v>
      </c>
      <c r="E2835" t="s">
        <v>1975</v>
      </c>
    </row>
    <row r="2836" spans="1:5" hidden="1" x14ac:dyDescent="0.25">
      <c r="A2836">
        <v>54</v>
      </c>
      <c r="B2836">
        <v>1</v>
      </c>
      <c r="C2836" t="s">
        <v>39</v>
      </c>
      <c r="D2836" s="4">
        <v>0</v>
      </c>
      <c r="E2836" t="s">
        <v>39</v>
      </c>
    </row>
    <row r="2837" spans="1:5" hidden="1" x14ac:dyDescent="0.25">
      <c r="A2837">
        <v>54</v>
      </c>
      <c r="B2837">
        <v>1</v>
      </c>
      <c r="C2837" t="s">
        <v>39</v>
      </c>
      <c r="D2837" s="4">
        <v>0</v>
      </c>
      <c r="E2837" t="s">
        <v>39</v>
      </c>
    </row>
    <row r="2838" spans="1:5" x14ac:dyDescent="0.25">
      <c r="A2838">
        <v>54</v>
      </c>
      <c r="B2838">
        <v>1</v>
      </c>
      <c r="C2838" t="s">
        <v>1976</v>
      </c>
      <c r="D2838" s="5">
        <v>0</v>
      </c>
      <c r="E2838" t="s">
        <v>2006</v>
      </c>
    </row>
    <row r="2839" spans="1:5" hidden="1" x14ac:dyDescent="0.25">
      <c r="A2839">
        <v>54</v>
      </c>
      <c r="B2839">
        <v>1</v>
      </c>
      <c r="C2839" t="s">
        <v>39</v>
      </c>
      <c r="D2839" s="4">
        <v>0</v>
      </c>
      <c r="E2839" t="s">
        <v>39</v>
      </c>
    </row>
    <row r="2840" spans="1:5" hidden="1" x14ac:dyDescent="0.25">
      <c r="A2840">
        <v>54</v>
      </c>
      <c r="B2840">
        <v>4</v>
      </c>
      <c r="C2840" t="s">
        <v>39</v>
      </c>
      <c r="D2840" s="4">
        <v>0</v>
      </c>
      <c r="E2840" t="s">
        <v>39</v>
      </c>
    </row>
    <row r="2841" spans="1:5" x14ac:dyDescent="0.25">
      <c r="A2841">
        <v>54</v>
      </c>
      <c r="B2841">
        <v>4</v>
      </c>
      <c r="C2841" t="s">
        <v>1977</v>
      </c>
      <c r="D2841" s="5">
        <v>0</v>
      </c>
      <c r="E2841" t="s">
        <v>2007</v>
      </c>
    </row>
    <row r="2842" spans="1:5" hidden="1" x14ac:dyDescent="0.25">
      <c r="A2842">
        <v>54</v>
      </c>
      <c r="B2842">
        <v>4</v>
      </c>
      <c r="C2842" t="s">
        <v>39</v>
      </c>
      <c r="D2842" s="4">
        <v>0</v>
      </c>
      <c r="E2842" t="s">
        <v>39</v>
      </c>
    </row>
    <row r="2843" spans="1:5" x14ac:dyDescent="0.25">
      <c r="A2843">
        <v>54</v>
      </c>
      <c r="B2843">
        <v>4</v>
      </c>
      <c r="C2843" t="s">
        <v>1978</v>
      </c>
      <c r="D2843" s="5">
        <v>0</v>
      </c>
      <c r="E2843" t="s">
        <v>1979</v>
      </c>
    </row>
    <row r="2844" spans="1:5" hidden="1" x14ac:dyDescent="0.25">
      <c r="A2844">
        <v>54</v>
      </c>
      <c r="B2844">
        <v>4</v>
      </c>
      <c r="C2844" t="s">
        <v>39</v>
      </c>
      <c r="D2844" s="4">
        <v>0</v>
      </c>
      <c r="E2844" t="s">
        <v>39</v>
      </c>
    </row>
    <row r="2845" spans="1:5" x14ac:dyDescent="0.25">
      <c r="A2845">
        <v>54</v>
      </c>
      <c r="B2845">
        <v>4</v>
      </c>
      <c r="C2845" t="s">
        <v>1980</v>
      </c>
      <c r="D2845" s="5">
        <v>0</v>
      </c>
      <c r="E2845" t="s">
        <v>2664</v>
      </c>
    </row>
    <row r="2846" spans="1:5" hidden="1" x14ac:dyDescent="0.25">
      <c r="A2846">
        <v>54</v>
      </c>
      <c r="B2846">
        <v>4</v>
      </c>
      <c r="C2846" t="s">
        <v>39</v>
      </c>
      <c r="D2846" s="4">
        <v>0</v>
      </c>
      <c r="E2846" t="s">
        <v>39</v>
      </c>
    </row>
    <row r="2847" spans="1:5" hidden="1" x14ac:dyDescent="0.25">
      <c r="A2847">
        <v>54</v>
      </c>
      <c r="B2847">
        <v>7</v>
      </c>
      <c r="C2847" t="s">
        <v>39</v>
      </c>
      <c r="D2847" s="4">
        <v>0</v>
      </c>
      <c r="E2847" t="s">
        <v>39</v>
      </c>
    </row>
    <row r="2848" spans="1:5" x14ac:dyDescent="0.25">
      <c r="A2848">
        <v>54</v>
      </c>
      <c r="B2848">
        <v>7</v>
      </c>
      <c r="C2848" t="s">
        <v>1981</v>
      </c>
      <c r="D2848" s="5">
        <v>0</v>
      </c>
      <c r="E2848" t="s">
        <v>1982</v>
      </c>
    </row>
    <row r="2849" spans="1:5" hidden="1" x14ac:dyDescent="0.25">
      <c r="A2849">
        <v>54</v>
      </c>
      <c r="B2849">
        <v>7</v>
      </c>
      <c r="C2849" t="s">
        <v>39</v>
      </c>
      <c r="D2849" s="4">
        <v>0</v>
      </c>
      <c r="E2849" t="s">
        <v>39</v>
      </c>
    </row>
    <row r="2850" spans="1:5" x14ac:dyDescent="0.25">
      <c r="A2850">
        <v>54</v>
      </c>
      <c r="B2850">
        <v>7</v>
      </c>
      <c r="C2850" t="s">
        <v>1983</v>
      </c>
      <c r="D2850" s="5">
        <v>0</v>
      </c>
      <c r="E2850" t="s">
        <v>1984</v>
      </c>
    </row>
    <row r="2851" spans="1:5" hidden="1" x14ac:dyDescent="0.25">
      <c r="A2851">
        <v>54</v>
      </c>
      <c r="B2851">
        <v>7</v>
      </c>
      <c r="C2851" t="s">
        <v>39</v>
      </c>
      <c r="D2851" s="4">
        <v>0</v>
      </c>
      <c r="E2851" t="s">
        <v>39</v>
      </c>
    </row>
    <row r="2852" spans="1:5" x14ac:dyDescent="0.25">
      <c r="A2852">
        <v>54</v>
      </c>
      <c r="B2852">
        <v>7</v>
      </c>
      <c r="C2852" t="s">
        <v>1985</v>
      </c>
      <c r="D2852" s="5">
        <v>0</v>
      </c>
      <c r="E2852" t="s">
        <v>1986</v>
      </c>
    </row>
    <row r="2853" spans="1:5" hidden="1" x14ac:dyDescent="0.25">
      <c r="A2853">
        <v>54</v>
      </c>
      <c r="B2853">
        <v>7</v>
      </c>
      <c r="C2853" t="s">
        <v>39</v>
      </c>
      <c r="D2853" s="4">
        <v>0</v>
      </c>
      <c r="E2853" t="s">
        <v>39</v>
      </c>
    </row>
    <row r="2854" spans="1:5" hidden="1" x14ac:dyDescent="0.25">
      <c r="A2854">
        <v>54</v>
      </c>
      <c r="B2854">
        <v>10</v>
      </c>
      <c r="C2854" t="s">
        <v>39</v>
      </c>
      <c r="D2854" s="4">
        <v>0</v>
      </c>
      <c r="E2854" t="s">
        <v>39</v>
      </c>
    </row>
    <row r="2855" spans="1:5" x14ac:dyDescent="0.25">
      <c r="A2855">
        <v>54</v>
      </c>
      <c r="B2855">
        <v>10</v>
      </c>
      <c r="C2855" t="s">
        <v>1987</v>
      </c>
      <c r="D2855" s="5">
        <v>0</v>
      </c>
      <c r="E2855" t="s">
        <v>1988</v>
      </c>
    </row>
    <row r="2856" spans="1:5" hidden="1" x14ac:dyDescent="0.25">
      <c r="A2856">
        <v>54</v>
      </c>
      <c r="B2856">
        <v>10</v>
      </c>
      <c r="C2856" t="s">
        <v>39</v>
      </c>
      <c r="D2856" s="4">
        <v>0</v>
      </c>
      <c r="E2856" t="s">
        <v>39</v>
      </c>
    </row>
    <row r="2857" spans="1:5" x14ac:dyDescent="0.25">
      <c r="A2857">
        <v>54</v>
      </c>
      <c r="B2857">
        <v>10</v>
      </c>
      <c r="C2857" t="s">
        <v>1989</v>
      </c>
      <c r="D2857" s="5">
        <v>0</v>
      </c>
      <c r="E2857" t="s">
        <v>1990</v>
      </c>
    </row>
    <row r="2858" spans="1:5" hidden="1" x14ac:dyDescent="0.25">
      <c r="A2858">
        <v>54</v>
      </c>
      <c r="B2858">
        <v>10</v>
      </c>
      <c r="C2858" t="s">
        <v>39</v>
      </c>
      <c r="D2858" s="4">
        <v>0</v>
      </c>
      <c r="E2858" t="s">
        <v>39</v>
      </c>
    </row>
    <row r="2859" spans="1:5" hidden="1" x14ac:dyDescent="0.25">
      <c r="A2859">
        <v>54</v>
      </c>
      <c r="B2859">
        <v>13</v>
      </c>
      <c r="C2859" t="s">
        <v>39</v>
      </c>
      <c r="D2859" s="4">
        <v>0</v>
      </c>
      <c r="E2859" t="s">
        <v>39</v>
      </c>
    </row>
    <row r="2860" spans="1:5" x14ac:dyDescent="0.25">
      <c r="A2860">
        <v>54</v>
      </c>
      <c r="B2860">
        <v>13</v>
      </c>
      <c r="C2860" t="s">
        <v>1991</v>
      </c>
      <c r="D2860" s="5">
        <v>0</v>
      </c>
      <c r="E2860" t="s">
        <v>1992</v>
      </c>
    </row>
    <row r="2861" spans="1:5" hidden="1" x14ac:dyDescent="0.25">
      <c r="A2861">
        <v>54</v>
      </c>
      <c r="B2861">
        <v>13</v>
      </c>
      <c r="C2861" t="s">
        <v>39</v>
      </c>
      <c r="D2861" s="4">
        <v>0</v>
      </c>
      <c r="E2861" t="s">
        <v>39</v>
      </c>
    </row>
    <row r="2862" spans="1:5" x14ac:dyDescent="0.25">
      <c r="A2862">
        <v>54</v>
      </c>
      <c r="B2862">
        <v>13</v>
      </c>
      <c r="C2862" t="s">
        <v>812</v>
      </c>
      <c r="D2862" s="5">
        <v>0</v>
      </c>
      <c r="E2862" t="s">
        <v>1993</v>
      </c>
    </row>
    <row r="2863" spans="1:5" hidden="1" x14ac:dyDescent="0.25">
      <c r="A2863">
        <v>54</v>
      </c>
      <c r="B2863">
        <v>13</v>
      </c>
      <c r="C2863" t="s">
        <v>39</v>
      </c>
      <c r="D2863" s="4">
        <v>0</v>
      </c>
      <c r="E2863" t="s">
        <v>39</v>
      </c>
    </row>
    <row r="2864" spans="1:5" x14ac:dyDescent="0.25">
      <c r="A2864">
        <v>54</v>
      </c>
      <c r="B2864">
        <v>13</v>
      </c>
      <c r="C2864" t="s">
        <v>1994</v>
      </c>
      <c r="D2864" s="5">
        <v>0</v>
      </c>
      <c r="E2864" t="s">
        <v>1995</v>
      </c>
    </row>
    <row r="2865" spans="1:5" hidden="1" x14ac:dyDescent="0.25">
      <c r="A2865">
        <v>54</v>
      </c>
      <c r="B2865">
        <v>13</v>
      </c>
      <c r="C2865" t="s">
        <v>39</v>
      </c>
      <c r="D2865" s="4">
        <v>0</v>
      </c>
      <c r="E2865" t="s">
        <v>39</v>
      </c>
    </row>
    <row r="2866" spans="1:5" hidden="1" x14ac:dyDescent="0.25">
      <c r="A2866">
        <v>54</v>
      </c>
      <c r="B2866">
        <v>16</v>
      </c>
      <c r="C2866" t="s">
        <v>39</v>
      </c>
      <c r="D2866" s="4">
        <v>0</v>
      </c>
      <c r="E2866" t="s">
        <v>39</v>
      </c>
    </row>
    <row r="2867" spans="1:5" x14ac:dyDescent="0.25">
      <c r="A2867">
        <v>54</v>
      </c>
      <c r="B2867">
        <v>16</v>
      </c>
      <c r="C2867" t="s">
        <v>1996</v>
      </c>
      <c r="D2867" s="5">
        <v>0</v>
      </c>
      <c r="E2867" t="s">
        <v>1997</v>
      </c>
    </row>
    <row r="2868" spans="1:5" hidden="1" x14ac:dyDescent="0.25">
      <c r="A2868">
        <v>54</v>
      </c>
      <c r="B2868">
        <v>16</v>
      </c>
      <c r="C2868" t="s">
        <v>39</v>
      </c>
      <c r="D2868" s="4">
        <v>0</v>
      </c>
      <c r="E2868" t="s">
        <v>39</v>
      </c>
    </row>
    <row r="2869" spans="1:5" x14ac:dyDescent="0.25">
      <c r="A2869">
        <v>54</v>
      </c>
      <c r="B2869">
        <v>16</v>
      </c>
      <c r="C2869" t="s">
        <v>1998</v>
      </c>
      <c r="D2869" s="5">
        <v>0</v>
      </c>
      <c r="E2869" t="s">
        <v>1999</v>
      </c>
    </row>
    <row r="2870" spans="1:5" hidden="1" x14ac:dyDescent="0.25">
      <c r="A2870">
        <v>54</v>
      </c>
      <c r="B2870">
        <v>16</v>
      </c>
      <c r="C2870" t="s">
        <v>39</v>
      </c>
      <c r="D2870" s="4">
        <v>0</v>
      </c>
      <c r="E2870" t="s">
        <v>39</v>
      </c>
    </row>
    <row r="2871" spans="1:5" x14ac:dyDescent="0.25">
      <c r="A2871">
        <v>54</v>
      </c>
      <c r="B2871">
        <v>16</v>
      </c>
      <c r="C2871" t="s">
        <v>2000</v>
      </c>
      <c r="D2871" s="5">
        <v>0</v>
      </c>
      <c r="E2871" t="s">
        <v>2001</v>
      </c>
    </row>
    <row r="2872" spans="1:5" hidden="1" x14ac:dyDescent="0.25">
      <c r="A2872">
        <v>54</v>
      </c>
      <c r="B2872">
        <v>16</v>
      </c>
      <c r="C2872" t="s">
        <v>39</v>
      </c>
      <c r="D2872" s="4">
        <v>0</v>
      </c>
      <c r="E2872" t="s">
        <v>39</v>
      </c>
    </row>
    <row r="2873" spans="1:5" hidden="1" x14ac:dyDescent="0.25">
      <c r="A2873">
        <v>54</v>
      </c>
      <c r="B2873">
        <v>20</v>
      </c>
      <c r="C2873" t="s">
        <v>39</v>
      </c>
      <c r="D2873" s="4">
        <v>0</v>
      </c>
      <c r="E2873" t="s">
        <v>39</v>
      </c>
    </row>
    <row r="2874" spans="1:5" x14ac:dyDescent="0.25">
      <c r="A2874">
        <v>54</v>
      </c>
      <c r="B2874">
        <v>20</v>
      </c>
      <c r="C2874" t="s">
        <v>2002</v>
      </c>
      <c r="D2874" s="5">
        <v>0</v>
      </c>
      <c r="E2874" t="s">
        <v>2003</v>
      </c>
    </row>
    <row r="2875" spans="1:5" hidden="1" x14ac:dyDescent="0.25">
      <c r="A2875">
        <v>54</v>
      </c>
      <c r="B2875">
        <v>20</v>
      </c>
      <c r="C2875" t="s">
        <v>39</v>
      </c>
      <c r="D2875" s="4">
        <v>0</v>
      </c>
      <c r="E2875" t="s">
        <v>39</v>
      </c>
    </row>
    <row r="2876" spans="1:5" x14ac:dyDescent="0.25">
      <c r="A2876">
        <v>54</v>
      </c>
      <c r="B2876">
        <v>20</v>
      </c>
      <c r="C2876" t="s">
        <v>2004</v>
      </c>
      <c r="D2876" s="5">
        <v>0</v>
      </c>
      <c r="E2876" t="s">
        <v>2005</v>
      </c>
    </row>
    <row r="2877" spans="1:5" hidden="1" x14ac:dyDescent="0.25">
      <c r="A2877">
        <v>54</v>
      </c>
      <c r="B2877">
        <v>20</v>
      </c>
      <c r="C2877" t="s">
        <v>39</v>
      </c>
      <c r="D2877" s="4">
        <v>0</v>
      </c>
      <c r="E2877" t="s">
        <v>39</v>
      </c>
    </row>
    <row r="2878" spans="1:5" x14ac:dyDescent="0.25">
      <c r="A2878">
        <v>54</v>
      </c>
      <c r="B2878">
        <v>20</v>
      </c>
      <c r="C2878" t="s">
        <v>120</v>
      </c>
      <c r="D2878" s="5">
        <v>0</v>
      </c>
      <c r="E2878" t="s">
        <v>121</v>
      </c>
    </row>
    <row r="2879" spans="1:5" hidden="1" x14ac:dyDescent="0.25">
      <c r="A2879">
        <v>54</v>
      </c>
      <c r="B2879">
        <v>20</v>
      </c>
      <c r="C2879" t="s">
        <v>39</v>
      </c>
      <c r="D2879" s="4">
        <v>0</v>
      </c>
      <c r="E2879" t="s">
        <v>39</v>
      </c>
    </row>
    <row r="2880" spans="1:5" x14ac:dyDescent="0.25">
      <c r="A2880">
        <v>54</v>
      </c>
      <c r="B2880">
        <v>20</v>
      </c>
      <c r="C2880" t="s">
        <v>80</v>
      </c>
      <c r="D2880" s="5">
        <v>60</v>
      </c>
      <c r="E2880" t="s">
        <v>81</v>
      </c>
    </row>
    <row r="2881" spans="1:5" x14ac:dyDescent="0.25">
      <c r="A2881">
        <v>55</v>
      </c>
      <c r="B2881">
        <v>1</v>
      </c>
      <c r="C2881" t="s">
        <v>2031</v>
      </c>
      <c r="D2881" s="5">
        <v>0</v>
      </c>
      <c r="E2881" t="s">
        <v>2032</v>
      </c>
    </row>
    <row r="2882" spans="1:5" hidden="1" x14ac:dyDescent="0.25">
      <c r="A2882">
        <v>55</v>
      </c>
      <c r="B2882">
        <v>1</v>
      </c>
      <c r="C2882" t="s">
        <v>39</v>
      </c>
      <c r="D2882" s="4">
        <v>0</v>
      </c>
      <c r="E2882" t="s">
        <v>39</v>
      </c>
    </row>
    <row r="2883" spans="1:5" x14ac:dyDescent="0.25">
      <c r="A2883">
        <v>55</v>
      </c>
      <c r="B2883">
        <v>1</v>
      </c>
      <c r="C2883" t="s">
        <v>2033</v>
      </c>
      <c r="D2883" s="5">
        <v>0</v>
      </c>
      <c r="E2883" t="s">
        <v>2034</v>
      </c>
    </row>
    <row r="2884" spans="1:5" hidden="1" x14ac:dyDescent="0.25">
      <c r="A2884">
        <v>55</v>
      </c>
      <c r="B2884">
        <v>1</v>
      </c>
      <c r="C2884" t="s">
        <v>39</v>
      </c>
      <c r="D2884" s="4">
        <v>0</v>
      </c>
      <c r="E2884" t="s">
        <v>39</v>
      </c>
    </row>
    <row r="2885" spans="1:5" x14ac:dyDescent="0.25">
      <c r="A2885">
        <v>55</v>
      </c>
      <c r="B2885">
        <v>1</v>
      </c>
      <c r="C2885" t="s">
        <v>2035</v>
      </c>
      <c r="D2885" s="5">
        <v>0</v>
      </c>
      <c r="E2885" t="s">
        <v>2036</v>
      </c>
    </row>
    <row r="2886" spans="1:5" hidden="1" x14ac:dyDescent="0.25">
      <c r="A2886">
        <v>55</v>
      </c>
      <c r="B2886">
        <v>1</v>
      </c>
      <c r="C2886" t="s">
        <v>39</v>
      </c>
      <c r="D2886" s="4">
        <v>0</v>
      </c>
      <c r="E2886" t="s">
        <v>39</v>
      </c>
    </row>
    <row r="2887" spans="1:5" hidden="1" x14ac:dyDescent="0.25">
      <c r="A2887">
        <v>55</v>
      </c>
      <c r="B2887">
        <v>4</v>
      </c>
      <c r="C2887" t="s">
        <v>39</v>
      </c>
      <c r="D2887" s="4">
        <v>0</v>
      </c>
      <c r="E2887" t="s">
        <v>39</v>
      </c>
    </row>
    <row r="2888" spans="1:5" x14ac:dyDescent="0.25">
      <c r="A2888">
        <v>55</v>
      </c>
      <c r="B2888">
        <v>4</v>
      </c>
      <c r="C2888" t="s">
        <v>2037</v>
      </c>
      <c r="D2888" s="5">
        <v>0</v>
      </c>
      <c r="E2888" t="s">
        <v>2038</v>
      </c>
    </row>
    <row r="2889" spans="1:5" hidden="1" x14ac:dyDescent="0.25">
      <c r="A2889">
        <v>55</v>
      </c>
      <c r="B2889">
        <v>4</v>
      </c>
      <c r="C2889" t="s">
        <v>39</v>
      </c>
      <c r="D2889" s="4">
        <v>0</v>
      </c>
      <c r="E2889" t="s">
        <v>39</v>
      </c>
    </row>
    <row r="2890" spans="1:5" x14ac:dyDescent="0.25">
      <c r="A2890">
        <v>55</v>
      </c>
      <c r="B2890">
        <v>4</v>
      </c>
      <c r="C2890" t="s">
        <v>2039</v>
      </c>
      <c r="D2890" s="5">
        <v>0</v>
      </c>
      <c r="E2890" t="s">
        <v>2040</v>
      </c>
    </row>
    <row r="2891" spans="1:5" hidden="1" x14ac:dyDescent="0.25">
      <c r="A2891">
        <v>55</v>
      </c>
      <c r="B2891">
        <v>4</v>
      </c>
      <c r="C2891" t="s">
        <v>39</v>
      </c>
      <c r="D2891" s="4">
        <v>0</v>
      </c>
      <c r="E2891" t="s">
        <v>39</v>
      </c>
    </row>
    <row r="2892" spans="1:5" x14ac:dyDescent="0.25">
      <c r="A2892">
        <v>55</v>
      </c>
      <c r="B2892">
        <v>4</v>
      </c>
      <c r="C2892" t="s">
        <v>2041</v>
      </c>
      <c r="D2892" s="5">
        <v>0</v>
      </c>
      <c r="E2892" t="s">
        <v>2042</v>
      </c>
    </row>
    <row r="2893" spans="1:5" hidden="1" x14ac:dyDescent="0.25">
      <c r="A2893">
        <v>55</v>
      </c>
      <c r="B2893">
        <v>4</v>
      </c>
      <c r="C2893" t="s">
        <v>39</v>
      </c>
      <c r="D2893" s="4">
        <v>0</v>
      </c>
      <c r="E2893" t="s">
        <v>39</v>
      </c>
    </row>
    <row r="2894" spans="1:5" x14ac:dyDescent="0.25">
      <c r="A2894">
        <v>55</v>
      </c>
      <c r="B2894">
        <v>4</v>
      </c>
      <c r="C2894" t="s">
        <v>2043</v>
      </c>
      <c r="D2894" s="5">
        <v>0</v>
      </c>
      <c r="E2894" t="s">
        <v>2044</v>
      </c>
    </row>
    <row r="2895" spans="1:5" hidden="1" x14ac:dyDescent="0.25">
      <c r="A2895">
        <v>55</v>
      </c>
      <c r="B2895">
        <v>4</v>
      </c>
      <c r="C2895" t="s">
        <v>39</v>
      </c>
      <c r="D2895" s="4">
        <v>0</v>
      </c>
      <c r="E2895" t="s">
        <v>39</v>
      </c>
    </row>
    <row r="2896" spans="1:5" hidden="1" x14ac:dyDescent="0.25">
      <c r="A2896">
        <v>55</v>
      </c>
      <c r="B2896">
        <v>7</v>
      </c>
      <c r="C2896" t="s">
        <v>39</v>
      </c>
      <c r="D2896" s="4">
        <v>0</v>
      </c>
      <c r="E2896" t="s">
        <v>39</v>
      </c>
    </row>
    <row r="2897" spans="1:5" x14ac:dyDescent="0.25">
      <c r="A2897">
        <v>55</v>
      </c>
      <c r="B2897">
        <v>7</v>
      </c>
      <c r="C2897" t="s">
        <v>2045</v>
      </c>
      <c r="D2897" s="5">
        <v>0</v>
      </c>
      <c r="E2897" t="s">
        <v>2050</v>
      </c>
    </row>
    <row r="2898" spans="1:5" hidden="1" x14ac:dyDescent="0.25">
      <c r="A2898">
        <v>55</v>
      </c>
      <c r="B2898">
        <v>7</v>
      </c>
      <c r="C2898" t="s">
        <v>39</v>
      </c>
      <c r="D2898" s="4">
        <v>0</v>
      </c>
      <c r="E2898" t="s">
        <v>39</v>
      </c>
    </row>
    <row r="2899" spans="1:5" x14ac:dyDescent="0.25">
      <c r="A2899">
        <v>55</v>
      </c>
      <c r="B2899">
        <v>7</v>
      </c>
      <c r="C2899" t="s">
        <v>2046</v>
      </c>
      <c r="D2899" s="5">
        <v>0</v>
      </c>
      <c r="E2899" t="s">
        <v>2051</v>
      </c>
    </row>
    <row r="2900" spans="1:5" hidden="1" x14ac:dyDescent="0.25">
      <c r="A2900">
        <v>55</v>
      </c>
      <c r="B2900">
        <v>7</v>
      </c>
      <c r="C2900" t="s">
        <v>39</v>
      </c>
      <c r="D2900" s="4">
        <v>0</v>
      </c>
      <c r="E2900" t="s">
        <v>39</v>
      </c>
    </row>
    <row r="2901" spans="1:5" x14ac:dyDescent="0.25">
      <c r="A2901">
        <v>55</v>
      </c>
      <c r="B2901">
        <v>7</v>
      </c>
      <c r="C2901" t="s">
        <v>2047</v>
      </c>
      <c r="D2901" s="5">
        <v>0</v>
      </c>
      <c r="E2901" t="s">
        <v>2048</v>
      </c>
    </row>
    <row r="2902" spans="1:5" hidden="1" x14ac:dyDescent="0.25">
      <c r="A2902">
        <v>55</v>
      </c>
      <c r="B2902">
        <v>7</v>
      </c>
      <c r="C2902" t="s">
        <v>39</v>
      </c>
      <c r="D2902" s="4">
        <v>0</v>
      </c>
      <c r="E2902" t="s">
        <v>39</v>
      </c>
    </row>
    <row r="2903" spans="1:5" hidden="1" x14ac:dyDescent="0.25">
      <c r="A2903">
        <v>55</v>
      </c>
      <c r="B2903">
        <v>10</v>
      </c>
      <c r="C2903" t="s">
        <v>39</v>
      </c>
      <c r="D2903" s="4">
        <v>0</v>
      </c>
      <c r="E2903" t="s">
        <v>39</v>
      </c>
    </row>
    <row r="2904" spans="1:5" x14ac:dyDescent="0.25">
      <c r="A2904">
        <v>55</v>
      </c>
      <c r="B2904">
        <v>10</v>
      </c>
      <c r="C2904" t="s">
        <v>2025</v>
      </c>
      <c r="D2904" s="5">
        <v>60</v>
      </c>
      <c r="E2904" t="s">
        <v>2049</v>
      </c>
    </row>
    <row r="2905" spans="1:5" hidden="1" x14ac:dyDescent="0.25">
      <c r="A2905">
        <v>55</v>
      </c>
      <c r="B2905">
        <v>10</v>
      </c>
      <c r="C2905" t="s">
        <v>39</v>
      </c>
      <c r="D2905" s="4">
        <v>0</v>
      </c>
      <c r="E2905" t="s">
        <v>39</v>
      </c>
    </row>
    <row r="2906" spans="1:5" hidden="1" x14ac:dyDescent="0.25">
      <c r="A2906">
        <v>55</v>
      </c>
      <c r="B2906">
        <v>10</v>
      </c>
      <c r="C2906" t="s">
        <v>39</v>
      </c>
      <c r="D2906" s="4">
        <v>0</v>
      </c>
      <c r="E2906" t="s">
        <v>39</v>
      </c>
    </row>
    <row r="2907" spans="1:5" x14ac:dyDescent="0.25">
      <c r="A2907">
        <v>55</v>
      </c>
      <c r="B2907">
        <v>10</v>
      </c>
      <c r="C2907" t="s">
        <v>2008</v>
      </c>
      <c r="D2907" s="5">
        <v>30</v>
      </c>
      <c r="E2907" t="s">
        <v>2009</v>
      </c>
    </row>
    <row r="2908" spans="1:5" hidden="1" x14ac:dyDescent="0.25">
      <c r="A2908">
        <v>55</v>
      </c>
      <c r="B2908">
        <v>10</v>
      </c>
      <c r="C2908" t="s">
        <v>39</v>
      </c>
      <c r="D2908" s="4">
        <v>0</v>
      </c>
      <c r="E2908" t="s">
        <v>39</v>
      </c>
    </row>
    <row r="2909" spans="1:5" hidden="1" x14ac:dyDescent="0.25">
      <c r="A2909">
        <v>55</v>
      </c>
      <c r="B2909">
        <v>10</v>
      </c>
      <c r="C2909" t="s">
        <v>39</v>
      </c>
      <c r="D2909" s="4">
        <v>0</v>
      </c>
      <c r="E2909" t="s">
        <v>39</v>
      </c>
    </row>
    <row r="2910" spans="1:5" hidden="1" x14ac:dyDescent="0.25">
      <c r="A2910">
        <v>55</v>
      </c>
      <c r="B2910">
        <v>13</v>
      </c>
      <c r="C2910" t="s">
        <v>39</v>
      </c>
      <c r="D2910" s="4">
        <v>0</v>
      </c>
      <c r="E2910" t="s">
        <v>39</v>
      </c>
    </row>
    <row r="2911" spans="1:5" x14ac:dyDescent="0.25">
      <c r="A2911">
        <v>55</v>
      </c>
      <c r="B2911">
        <v>13</v>
      </c>
      <c r="C2911" t="s">
        <v>2010</v>
      </c>
      <c r="D2911" s="5">
        <v>0</v>
      </c>
      <c r="E2911" t="s">
        <v>2665</v>
      </c>
    </row>
    <row r="2912" spans="1:5" hidden="1" x14ac:dyDescent="0.25">
      <c r="A2912">
        <v>55</v>
      </c>
      <c r="B2912">
        <v>13</v>
      </c>
      <c r="C2912" t="s">
        <v>39</v>
      </c>
      <c r="D2912" s="4">
        <v>0</v>
      </c>
      <c r="E2912" t="s">
        <v>39</v>
      </c>
    </row>
    <row r="2913" spans="1:5" x14ac:dyDescent="0.25">
      <c r="A2913">
        <v>55</v>
      </c>
      <c r="B2913">
        <v>13</v>
      </c>
      <c r="C2913" t="s">
        <v>2011</v>
      </c>
      <c r="D2913" s="5">
        <v>0</v>
      </c>
      <c r="E2913" t="s">
        <v>2012</v>
      </c>
    </row>
    <row r="2914" spans="1:5" hidden="1" x14ac:dyDescent="0.25">
      <c r="A2914">
        <v>55</v>
      </c>
      <c r="B2914">
        <v>13</v>
      </c>
      <c r="C2914" t="s">
        <v>39</v>
      </c>
      <c r="D2914" s="4">
        <v>0</v>
      </c>
      <c r="E2914" t="s">
        <v>39</v>
      </c>
    </row>
    <row r="2915" spans="1:5" x14ac:dyDescent="0.25">
      <c r="A2915">
        <v>55</v>
      </c>
      <c r="B2915">
        <v>13</v>
      </c>
      <c r="C2915" t="s">
        <v>2013</v>
      </c>
      <c r="D2915" s="5">
        <v>0</v>
      </c>
      <c r="E2915" t="s">
        <v>2014</v>
      </c>
    </row>
    <row r="2916" spans="1:5" hidden="1" x14ac:dyDescent="0.25">
      <c r="A2916">
        <v>55</v>
      </c>
      <c r="B2916">
        <v>13</v>
      </c>
      <c r="C2916" t="s">
        <v>39</v>
      </c>
      <c r="D2916" s="4">
        <v>0</v>
      </c>
      <c r="E2916" t="s">
        <v>39</v>
      </c>
    </row>
    <row r="2917" spans="1:5" x14ac:dyDescent="0.25">
      <c r="A2917">
        <v>55</v>
      </c>
      <c r="B2917">
        <v>13</v>
      </c>
      <c r="C2917" t="s">
        <v>2015</v>
      </c>
      <c r="D2917" s="5">
        <v>0</v>
      </c>
      <c r="E2917" t="s">
        <v>2016</v>
      </c>
    </row>
    <row r="2918" spans="1:5" hidden="1" x14ac:dyDescent="0.25">
      <c r="A2918">
        <v>55</v>
      </c>
      <c r="B2918">
        <v>13</v>
      </c>
      <c r="C2918" t="s">
        <v>39</v>
      </c>
      <c r="D2918" s="4">
        <v>0</v>
      </c>
      <c r="E2918" t="s">
        <v>39</v>
      </c>
    </row>
    <row r="2919" spans="1:5" hidden="1" x14ac:dyDescent="0.25">
      <c r="A2919">
        <v>55</v>
      </c>
      <c r="B2919">
        <v>16</v>
      </c>
      <c r="C2919" t="s">
        <v>39</v>
      </c>
      <c r="D2919" s="4">
        <v>0</v>
      </c>
      <c r="E2919" t="s">
        <v>39</v>
      </c>
    </row>
    <row r="2920" spans="1:5" x14ac:dyDescent="0.25">
      <c r="A2920">
        <v>55</v>
      </c>
      <c r="B2920">
        <v>16</v>
      </c>
      <c r="C2920" t="s">
        <v>2017</v>
      </c>
      <c r="D2920" s="5">
        <v>0</v>
      </c>
      <c r="E2920" t="s">
        <v>2018</v>
      </c>
    </row>
    <row r="2921" spans="1:5" hidden="1" x14ac:dyDescent="0.25">
      <c r="A2921">
        <v>55</v>
      </c>
      <c r="B2921">
        <v>16</v>
      </c>
      <c r="C2921" t="s">
        <v>39</v>
      </c>
      <c r="D2921" s="4">
        <v>0</v>
      </c>
      <c r="E2921" t="s">
        <v>39</v>
      </c>
    </row>
    <row r="2922" spans="1:5" x14ac:dyDescent="0.25">
      <c r="A2922">
        <v>55</v>
      </c>
      <c r="B2922">
        <v>16</v>
      </c>
      <c r="C2922" t="s">
        <v>2019</v>
      </c>
      <c r="D2922" s="5">
        <v>0</v>
      </c>
      <c r="E2922" t="s">
        <v>2020</v>
      </c>
    </row>
    <row r="2923" spans="1:5" hidden="1" x14ac:dyDescent="0.25">
      <c r="A2923">
        <v>55</v>
      </c>
      <c r="B2923">
        <v>16</v>
      </c>
      <c r="C2923" t="s">
        <v>39</v>
      </c>
      <c r="D2923" s="4">
        <v>0</v>
      </c>
      <c r="E2923" t="s">
        <v>39</v>
      </c>
    </row>
    <row r="2924" spans="1:5" x14ac:dyDescent="0.25">
      <c r="A2924">
        <v>55</v>
      </c>
      <c r="B2924">
        <v>16</v>
      </c>
      <c r="C2924" t="s">
        <v>2021</v>
      </c>
      <c r="D2924" s="5">
        <v>0</v>
      </c>
      <c r="E2924" t="s">
        <v>2022</v>
      </c>
    </row>
    <row r="2925" spans="1:5" hidden="1" x14ac:dyDescent="0.25">
      <c r="A2925">
        <v>55</v>
      </c>
      <c r="B2925">
        <v>16</v>
      </c>
      <c r="C2925" t="s">
        <v>39</v>
      </c>
      <c r="D2925" s="4">
        <v>0</v>
      </c>
      <c r="E2925" t="s">
        <v>39</v>
      </c>
    </row>
    <row r="2926" spans="1:5" x14ac:dyDescent="0.25">
      <c r="A2926">
        <v>55</v>
      </c>
      <c r="B2926">
        <v>16</v>
      </c>
      <c r="C2926" t="s">
        <v>2023</v>
      </c>
      <c r="D2926" s="5">
        <v>0</v>
      </c>
      <c r="E2926" t="s">
        <v>2024</v>
      </c>
    </row>
    <row r="2927" spans="1:5" hidden="1" x14ac:dyDescent="0.25">
      <c r="A2927">
        <v>55</v>
      </c>
      <c r="B2927">
        <v>16</v>
      </c>
      <c r="C2927" t="s">
        <v>39</v>
      </c>
      <c r="D2927" s="4">
        <v>0</v>
      </c>
      <c r="E2927" t="s">
        <v>39</v>
      </c>
    </row>
    <row r="2928" spans="1:5" hidden="1" x14ac:dyDescent="0.25">
      <c r="A2928">
        <v>55</v>
      </c>
      <c r="B2928">
        <v>20</v>
      </c>
      <c r="C2928" t="s">
        <v>39</v>
      </c>
      <c r="D2928" s="4">
        <v>0</v>
      </c>
      <c r="E2928" t="s">
        <v>39</v>
      </c>
    </row>
    <row r="2929" spans="1:5" x14ac:dyDescent="0.25">
      <c r="A2929">
        <v>55</v>
      </c>
      <c r="B2929">
        <v>20</v>
      </c>
      <c r="C2929" t="s">
        <v>2025</v>
      </c>
      <c r="D2929" s="5">
        <v>60</v>
      </c>
      <c r="E2929" t="s">
        <v>2026</v>
      </c>
    </row>
    <row r="2930" spans="1:5" hidden="1" x14ac:dyDescent="0.25">
      <c r="A2930">
        <v>55</v>
      </c>
      <c r="B2930">
        <v>20</v>
      </c>
      <c r="C2930" t="s">
        <v>39</v>
      </c>
      <c r="D2930" s="4">
        <v>0</v>
      </c>
      <c r="E2930" t="s">
        <v>39</v>
      </c>
    </row>
    <row r="2931" spans="1:5" hidden="1" x14ac:dyDescent="0.25">
      <c r="A2931">
        <v>55</v>
      </c>
      <c r="B2931">
        <v>20</v>
      </c>
      <c r="C2931" t="s">
        <v>39</v>
      </c>
      <c r="D2931" s="4">
        <v>0</v>
      </c>
      <c r="E2931" t="s">
        <v>39</v>
      </c>
    </row>
    <row r="2932" spans="1:5" x14ac:dyDescent="0.25">
      <c r="A2932">
        <v>55</v>
      </c>
      <c r="B2932">
        <v>20</v>
      </c>
      <c r="C2932" t="s">
        <v>2008</v>
      </c>
      <c r="D2932" s="5">
        <v>30</v>
      </c>
      <c r="E2932" t="s">
        <v>2027</v>
      </c>
    </row>
    <row r="2933" spans="1:5" hidden="1" x14ac:dyDescent="0.25">
      <c r="A2933">
        <v>55</v>
      </c>
      <c r="B2933">
        <v>20</v>
      </c>
      <c r="C2933" t="s">
        <v>39</v>
      </c>
      <c r="D2933" s="4">
        <v>0</v>
      </c>
      <c r="E2933" t="s">
        <v>39</v>
      </c>
    </row>
    <row r="2934" spans="1:5" hidden="1" x14ac:dyDescent="0.25">
      <c r="A2934">
        <v>55</v>
      </c>
      <c r="B2934">
        <v>20</v>
      </c>
      <c r="C2934" t="s">
        <v>39</v>
      </c>
      <c r="D2934" s="4">
        <v>0</v>
      </c>
      <c r="E2934" t="s">
        <v>39</v>
      </c>
    </row>
    <row r="2935" spans="1:5" x14ac:dyDescent="0.25">
      <c r="A2935">
        <v>55</v>
      </c>
      <c r="B2935">
        <v>20</v>
      </c>
      <c r="C2935" t="s">
        <v>2028</v>
      </c>
      <c r="D2935" s="5">
        <v>20</v>
      </c>
      <c r="E2935" t="s">
        <v>2666</v>
      </c>
    </row>
    <row r="2936" spans="1:5" hidden="1" x14ac:dyDescent="0.25">
      <c r="A2936">
        <v>55</v>
      </c>
      <c r="B2936">
        <v>20</v>
      </c>
      <c r="C2936" t="s">
        <v>39</v>
      </c>
      <c r="D2936" s="4">
        <v>0</v>
      </c>
      <c r="E2936" t="s">
        <v>39</v>
      </c>
    </row>
    <row r="2937" spans="1:5" hidden="1" x14ac:dyDescent="0.25">
      <c r="A2937">
        <v>55</v>
      </c>
      <c r="B2937">
        <v>20</v>
      </c>
      <c r="C2937" t="s">
        <v>39</v>
      </c>
      <c r="D2937" s="4">
        <v>0</v>
      </c>
      <c r="E2937" t="s">
        <v>39</v>
      </c>
    </row>
    <row r="2938" spans="1:5" x14ac:dyDescent="0.25">
      <c r="A2938">
        <v>55</v>
      </c>
      <c r="B2938">
        <v>20</v>
      </c>
      <c r="C2938" t="s">
        <v>2029</v>
      </c>
      <c r="D2938" s="5">
        <v>20</v>
      </c>
      <c r="E2938" t="s">
        <v>2030</v>
      </c>
    </row>
    <row r="2939" spans="1:5" x14ac:dyDescent="0.25">
      <c r="A2939">
        <v>56</v>
      </c>
      <c r="B2939">
        <v>1</v>
      </c>
      <c r="C2939" t="s">
        <v>2052</v>
      </c>
      <c r="D2939" s="5">
        <v>0</v>
      </c>
      <c r="E2939" t="s">
        <v>2053</v>
      </c>
    </row>
    <row r="2940" spans="1:5" hidden="1" x14ac:dyDescent="0.25">
      <c r="A2940">
        <v>56</v>
      </c>
      <c r="B2940">
        <v>1</v>
      </c>
      <c r="C2940" t="s">
        <v>39</v>
      </c>
      <c r="D2940" s="4">
        <v>0</v>
      </c>
      <c r="E2940" t="s">
        <v>39</v>
      </c>
    </row>
    <row r="2941" spans="1:5" x14ac:dyDescent="0.25">
      <c r="A2941">
        <v>56</v>
      </c>
      <c r="B2941">
        <v>1</v>
      </c>
      <c r="C2941" t="s">
        <v>2054</v>
      </c>
      <c r="D2941" s="5">
        <v>0</v>
      </c>
      <c r="E2941" t="s">
        <v>2055</v>
      </c>
    </row>
    <row r="2942" spans="1:5" hidden="1" x14ac:dyDescent="0.25">
      <c r="A2942">
        <v>56</v>
      </c>
      <c r="B2942">
        <v>1</v>
      </c>
      <c r="C2942" t="s">
        <v>39</v>
      </c>
      <c r="D2942" s="4">
        <v>0</v>
      </c>
      <c r="E2942" t="s">
        <v>39</v>
      </c>
    </row>
    <row r="2943" spans="1:5" x14ac:dyDescent="0.25">
      <c r="A2943">
        <v>56</v>
      </c>
      <c r="B2943">
        <v>1</v>
      </c>
      <c r="C2943" t="s">
        <v>2056</v>
      </c>
      <c r="D2943" s="5">
        <v>0</v>
      </c>
      <c r="E2943" t="s">
        <v>2057</v>
      </c>
    </row>
    <row r="2944" spans="1:5" hidden="1" x14ac:dyDescent="0.25">
      <c r="A2944">
        <v>56</v>
      </c>
      <c r="B2944">
        <v>1</v>
      </c>
      <c r="C2944" t="s">
        <v>39</v>
      </c>
      <c r="D2944" s="4">
        <v>0</v>
      </c>
      <c r="E2944" t="s">
        <v>39</v>
      </c>
    </row>
    <row r="2945" spans="1:5" x14ac:dyDescent="0.25">
      <c r="A2945">
        <v>56</v>
      </c>
      <c r="B2945">
        <v>1</v>
      </c>
      <c r="C2945" t="s">
        <v>2058</v>
      </c>
      <c r="D2945" s="5">
        <v>0</v>
      </c>
      <c r="E2945" t="s">
        <v>2059</v>
      </c>
    </row>
    <row r="2946" spans="1:5" hidden="1" x14ac:dyDescent="0.25">
      <c r="A2946">
        <v>56</v>
      </c>
      <c r="B2946">
        <v>1</v>
      </c>
      <c r="C2946" t="s">
        <v>39</v>
      </c>
      <c r="D2946" s="4">
        <v>0</v>
      </c>
      <c r="E2946" t="s">
        <v>39</v>
      </c>
    </row>
    <row r="2947" spans="1:5" hidden="1" x14ac:dyDescent="0.25">
      <c r="A2947">
        <v>56</v>
      </c>
      <c r="B2947">
        <v>4</v>
      </c>
      <c r="C2947" t="s">
        <v>39</v>
      </c>
      <c r="D2947" s="4">
        <v>0</v>
      </c>
      <c r="E2947" t="s">
        <v>39</v>
      </c>
    </row>
    <row r="2948" spans="1:5" x14ac:dyDescent="0.25">
      <c r="A2948">
        <v>56</v>
      </c>
      <c r="B2948">
        <v>4</v>
      </c>
      <c r="C2948" t="s">
        <v>2060</v>
      </c>
      <c r="D2948" s="5">
        <v>0</v>
      </c>
      <c r="E2948" t="s">
        <v>2061</v>
      </c>
    </row>
    <row r="2949" spans="1:5" hidden="1" x14ac:dyDescent="0.25">
      <c r="A2949">
        <v>56</v>
      </c>
      <c r="B2949">
        <v>4</v>
      </c>
      <c r="C2949" t="s">
        <v>39</v>
      </c>
      <c r="D2949" s="4">
        <v>0</v>
      </c>
      <c r="E2949" t="s">
        <v>39</v>
      </c>
    </row>
    <row r="2950" spans="1:5" x14ac:dyDescent="0.25">
      <c r="A2950">
        <v>56</v>
      </c>
      <c r="B2950">
        <v>4</v>
      </c>
      <c r="C2950" t="s">
        <v>2062</v>
      </c>
      <c r="D2950" s="5">
        <v>0</v>
      </c>
      <c r="E2950" t="s">
        <v>2063</v>
      </c>
    </row>
    <row r="2951" spans="1:5" hidden="1" x14ac:dyDescent="0.25">
      <c r="A2951">
        <v>56</v>
      </c>
      <c r="B2951">
        <v>4</v>
      </c>
      <c r="C2951" t="s">
        <v>39</v>
      </c>
      <c r="D2951" s="4">
        <v>0</v>
      </c>
      <c r="E2951" t="s">
        <v>39</v>
      </c>
    </row>
    <row r="2952" spans="1:5" x14ac:dyDescent="0.25">
      <c r="A2952">
        <v>56</v>
      </c>
      <c r="B2952">
        <v>4</v>
      </c>
      <c r="C2952" t="s">
        <v>2064</v>
      </c>
      <c r="D2952" s="5">
        <v>0</v>
      </c>
      <c r="E2952" t="s">
        <v>2065</v>
      </c>
    </row>
    <row r="2953" spans="1:5" hidden="1" x14ac:dyDescent="0.25">
      <c r="A2953">
        <v>56</v>
      </c>
      <c r="B2953">
        <v>4</v>
      </c>
      <c r="C2953" t="s">
        <v>39</v>
      </c>
      <c r="D2953" s="4">
        <v>0</v>
      </c>
      <c r="E2953" t="s">
        <v>39</v>
      </c>
    </row>
    <row r="2954" spans="1:5" hidden="1" x14ac:dyDescent="0.25">
      <c r="A2954">
        <v>56</v>
      </c>
      <c r="B2954">
        <v>7</v>
      </c>
      <c r="C2954" t="s">
        <v>39</v>
      </c>
      <c r="D2954" s="4">
        <v>0</v>
      </c>
      <c r="E2954" t="s">
        <v>39</v>
      </c>
    </row>
    <row r="2955" spans="1:5" x14ac:dyDescent="0.25">
      <c r="A2955">
        <v>56</v>
      </c>
      <c r="B2955">
        <v>7</v>
      </c>
      <c r="C2955" t="s">
        <v>2066</v>
      </c>
      <c r="D2955" s="5">
        <v>0</v>
      </c>
      <c r="E2955" t="s">
        <v>2067</v>
      </c>
    </row>
    <row r="2956" spans="1:5" hidden="1" x14ac:dyDescent="0.25">
      <c r="A2956">
        <v>56</v>
      </c>
      <c r="B2956">
        <v>7</v>
      </c>
      <c r="C2956" t="s">
        <v>39</v>
      </c>
      <c r="D2956" s="4">
        <v>0</v>
      </c>
      <c r="E2956" t="s">
        <v>39</v>
      </c>
    </row>
    <row r="2957" spans="1:5" x14ac:dyDescent="0.25">
      <c r="A2957">
        <v>56</v>
      </c>
      <c r="B2957">
        <v>7</v>
      </c>
      <c r="C2957" t="s">
        <v>2068</v>
      </c>
      <c r="D2957" s="5">
        <v>0</v>
      </c>
      <c r="E2957" t="s">
        <v>2069</v>
      </c>
    </row>
    <row r="2958" spans="1:5" hidden="1" x14ac:dyDescent="0.25">
      <c r="A2958">
        <v>56</v>
      </c>
      <c r="B2958">
        <v>7</v>
      </c>
      <c r="C2958" t="s">
        <v>39</v>
      </c>
      <c r="D2958" s="4">
        <v>0</v>
      </c>
      <c r="E2958" t="s">
        <v>39</v>
      </c>
    </row>
    <row r="2959" spans="1:5" x14ac:dyDescent="0.25">
      <c r="A2959">
        <v>56</v>
      </c>
      <c r="B2959">
        <v>7</v>
      </c>
      <c r="C2959" t="s">
        <v>2070</v>
      </c>
      <c r="D2959" s="5">
        <v>0</v>
      </c>
      <c r="E2959" t="s">
        <v>2667</v>
      </c>
    </row>
    <row r="2960" spans="1:5" hidden="1" x14ac:dyDescent="0.25">
      <c r="A2960">
        <v>56</v>
      </c>
      <c r="B2960">
        <v>7</v>
      </c>
      <c r="C2960" t="s">
        <v>39</v>
      </c>
      <c r="D2960" s="4">
        <v>0</v>
      </c>
      <c r="E2960" t="s">
        <v>39</v>
      </c>
    </row>
    <row r="2961" spans="1:5" x14ac:dyDescent="0.25">
      <c r="A2961">
        <v>56</v>
      </c>
      <c r="B2961">
        <v>7</v>
      </c>
      <c r="C2961" t="s">
        <v>2071</v>
      </c>
      <c r="D2961" s="5">
        <v>0</v>
      </c>
      <c r="E2961" t="s">
        <v>2072</v>
      </c>
    </row>
    <row r="2962" spans="1:5" hidden="1" x14ac:dyDescent="0.25">
      <c r="A2962">
        <v>56</v>
      </c>
      <c r="B2962">
        <v>7</v>
      </c>
      <c r="C2962" t="s">
        <v>39</v>
      </c>
      <c r="D2962" s="4">
        <v>0</v>
      </c>
      <c r="E2962" t="s">
        <v>39</v>
      </c>
    </row>
    <row r="2963" spans="1:5" hidden="1" x14ac:dyDescent="0.25">
      <c r="A2963">
        <v>56</v>
      </c>
      <c r="B2963">
        <v>10</v>
      </c>
      <c r="C2963" t="s">
        <v>39</v>
      </c>
      <c r="D2963" s="4">
        <v>0</v>
      </c>
      <c r="E2963" t="s">
        <v>39</v>
      </c>
    </row>
    <row r="2964" spans="1:5" x14ac:dyDescent="0.25">
      <c r="A2964">
        <v>56</v>
      </c>
      <c r="B2964">
        <v>10</v>
      </c>
      <c r="C2964" t="s">
        <v>2073</v>
      </c>
      <c r="D2964" s="5">
        <v>0</v>
      </c>
      <c r="E2964" t="s">
        <v>2074</v>
      </c>
    </row>
    <row r="2965" spans="1:5" hidden="1" x14ac:dyDescent="0.25">
      <c r="A2965">
        <v>56</v>
      </c>
      <c r="B2965">
        <v>10</v>
      </c>
      <c r="C2965" t="s">
        <v>39</v>
      </c>
      <c r="D2965" s="4">
        <v>0</v>
      </c>
      <c r="E2965" t="s">
        <v>39</v>
      </c>
    </row>
    <row r="2966" spans="1:5" x14ac:dyDescent="0.25">
      <c r="A2966">
        <v>56</v>
      </c>
      <c r="B2966">
        <v>10</v>
      </c>
      <c r="C2966" t="s">
        <v>2075</v>
      </c>
      <c r="D2966" s="5">
        <v>0</v>
      </c>
      <c r="E2966" t="s">
        <v>2076</v>
      </c>
    </row>
    <row r="2967" spans="1:5" hidden="1" x14ac:dyDescent="0.25">
      <c r="A2967">
        <v>56</v>
      </c>
      <c r="B2967">
        <v>10</v>
      </c>
      <c r="C2967" t="s">
        <v>39</v>
      </c>
      <c r="D2967" s="4">
        <v>0</v>
      </c>
      <c r="E2967" t="s">
        <v>39</v>
      </c>
    </row>
    <row r="2968" spans="1:5" hidden="1" x14ac:dyDescent="0.25">
      <c r="A2968">
        <v>56</v>
      </c>
      <c r="B2968">
        <v>13</v>
      </c>
      <c r="C2968" t="s">
        <v>39</v>
      </c>
      <c r="D2968" s="4">
        <v>0</v>
      </c>
      <c r="E2968" t="s">
        <v>39</v>
      </c>
    </row>
    <row r="2969" spans="1:5" x14ac:dyDescent="0.25">
      <c r="A2969">
        <v>56</v>
      </c>
      <c r="B2969">
        <v>13</v>
      </c>
      <c r="C2969" t="s">
        <v>2077</v>
      </c>
      <c r="D2969" s="5">
        <v>0</v>
      </c>
      <c r="E2969" t="s">
        <v>2078</v>
      </c>
    </row>
    <row r="2970" spans="1:5" hidden="1" x14ac:dyDescent="0.25">
      <c r="A2970">
        <v>56</v>
      </c>
      <c r="B2970">
        <v>13</v>
      </c>
      <c r="C2970" t="s">
        <v>39</v>
      </c>
      <c r="D2970" s="4">
        <v>0</v>
      </c>
      <c r="E2970" t="s">
        <v>39</v>
      </c>
    </row>
    <row r="2971" spans="1:5" x14ac:dyDescent="0.25">
      <c r="A2971">
        <v>56</v>
      </c>
      <c r="B2971">
        <v>13</v>
      </c>
      <c r="C2971" t="s">
        <v>2079</v>
      </c>
      <c r="D2971" s="5">
        <v>0</v>
      </c>
      <c r="E2971" t="s">
        <v>2080</v>
      </c>
    </row>
    <row r="2972" spans="1:5" hidden="1" x14ac:dyDescent="0.25">
      <c r="A2972">
        <v>56</v>
      </c>
      <c r="B2972">
        <v>13</v>
      </c>
      <c r="C2972" t="s">
        <v>39</v>
      </c>
      <c r="D2972" s="4">
        <v>0</v>
      </c>
      <c r="E2972" t="s">
        <v>39</v>
      </c>
    </row>
    <row r="2973" spans="1:5" x14ac:dyDescent="0.25">
      <c r="A2973">
        <v>56</v>
      </c>
      <c r="B2973">
        <v>13</v>
      </c>
      <c r="C2973" t="s">
        <v>2081</v>
      </c>
      <c r="D2973" s="5">
        <v>0</v>
      </c>
      <c r="E2973" t="s">
        <v>2082</v>
      </c>
    </row>
    <row r="2974" spans="1:5" hidden="1" x14ac:dyDescent="0.25">
      <c r="A2974">
        <v>56</v>
      </c>
      <c r="B2974">
        <v>13</v>
      </c>
      <c r="C2974" t="s">
        <v>39</v>
      </c>
      <c r="D2974" s="4">
        <v>0</v>
      </c>
      <c r="E2974" t="s">
        <v>39</v>
      </c>
    </row>
    <row r="2975" spans="1:5" x14ac:dyDescent="0.25">
      <c r="A2975">
        <v>56</v>
      </c>
      <c r="B2975">
        <v>13</v>
      </c>
      <c r="C2975" t="s">
        <v>2083</v>
      </c>
      <c r="D2975" s="5">
        <v>0</v>
      </c>
      <c r="E2975" t="s">
        <v>2084</v>
      </c>
    </row>
    <row r="2976" spans="1:5" hidden="1" x14ac:dyDescent="0.25">
      <c r="A2976">
        <v>56</v>
      </c>
      <c r="B2976">
        <v>13</v>
      </c>
      <c r="C2976" t="s">
        <v>39</v>
      </c>
      <c r="D2976" s="4">
        <v>0</v>
      </c>
      <c r="E2976" t="s">
        <v>39</v>
      </c>
    </row>
    <row r="2977" spans="1:5" hidden="1" x14ac:dyDescent="0.25">
      <c r="A2977">
        <v>56</v>
      </c>
      <c r="B2977">
        <v>16</v>
      </c>
      <c r="C2977" t="s">
        <v>39</v>
      </c>
      <c r="D2977" s="4">
        <v>0</v>
      </c>
      <c r="E2977" t="s">
        <v>39</v>
      </c>
    </row>
    <row r="2978" spans="1:5" x14ac:dyDescent="0.25">
      <c r="A2978">
        <v>56</v>
      </c>
      <c r="B2978">
        <v>16</v>
      </c>
      <c r="C2978" t="s">
        <v>2085</v>
      </c>
      <c r="D2978" s="5">
        <v>0</v>
      </c>
      <c r="E2978" t="s">
        <v>2086</v>
      </c>
    </row>
    <row r="2979" spans="1:5" hidden="1" x14ac:dyDescent="0.25">
      <c r="A2979">
        <v>56</v>
      </c>
      <c r="B2979">
        <v>16</v>
      </c>
      <c r="C2979" t="s">
        <v>39</v>
      </c>
      <c r="D2979" s="4">
        <v>0</v>
      </c>
      <c r="E2979" t="s">
        <v>39</v>
      </c>
    </row>
    <row r="2980" spans="1:5" x14ac:dyDescent="0.25">
      <c r="A2980">
        <v>56</v>
      </c>
      <c r="B2980">
        <v>16</v>
      </c>
      <c r="C2980" t="s">
        <v>2087</v>
      </c>
      <c r="D2980" s="5">
        <v>0</v>
      </c>
      <c r="E2980" t="s">
        <v>2088</v>
      </c>
    </row>
    <row r="2981" spans="1:5" hidden="1" x14ac:dyDescent="0.25">
      <c r="A2981">
        <v>56</v>
      </c>
      <c r="B2981">
        <v>16</v>
      </c>
      <c r="C2981" t="s">
        <v>39</v>
      </c>
      <c r="D2981" s="4">
        <v>0</v>
      </c>
      <c r="E2981" t="s">
        <v>39</v>
      </c>
    </row>
    <row r="2982" spans="1:5" x14ac:dyDescent="0.25">
      <c r="A2982">
        <v>56</v>
      </c>
      <c r="B2982">
        <v>16</v>
      </c>
      <c r="C2982" t="s">
        <v>2089</v>
      </c>
      <c r="D2982" s="5">
        <v>0</v>
      </c>
      <c r="E2982" t="s">
        <v>2090</v>
      </c>
    </row>
    <row r="2983" spans="1:5" hidden="1" x14ac:dyDescent="0.25">
      <c r="A2983">
        <v>56</v>
      </c>
      <c r="B2983">
        <v>16</v>
      </c>
      <c r="C2983" t="s">
        <v>39</v>
      </c>
      <c r="D2983" s="4">
        <v>0</v>
      </c>
      <c r="E2983" t="s">
        <v>39</v>
      </c>
    </row>
    <row r="2984" spans="1:5" hidden="1" x14ac:dyDescent="0.25">
      <c r="A2984">
        <v>56</v>
      </c>
      <c r="B2984">
        <v>20</v>
      </c>
      <c r="C2984" t="s">
        <v>39</v>
      </c>
      <c r="D2984" s="4">
        <v>0</v>
      </c>
      <c r="E2984" t="s">
        <v>39</v>
      </c>
    </row>
    <row r="2985" spans="1:5" x14ac:dyDescent="0.25">
      <c r="A2985">
        <v>56</v>
      </c>
      <c r="B2985">
        <v>20</v>
      </c>
      <c r="C2985" t="s">
        <v>2091</v>
      </c>
      <c r="D2985" s="5">
        <v>0</v>
      </c>
      <c r="E2985" t="s">
        <v>2668</v>
      </c>
    </row>
    <row r="2986" spans="1:5" hidden="1" x14ac:dyDescent="0.25">
      <c r="A2986">
        <v>56</v>
      </c>
      <c r="B2986">
        <v>20</v>
      </c>
      <c r="C2986" t="s">
        <v>39</v>
      </c>
      <c r="D2986" s="4">
        <v>0</v>
      </c>
      <c r="E2986" t="s">
        <v>39</v>
      </c>
    </row>
    <row r="2987" spans="1:5" x14ac:dyDescent="0.25">
      <c r="A2987">
        <v>56</v>
      </c>
      <c r="B2987">
        <v>20</v>
      </c>
      <c r="C2987" t="s">
        <v>2092</v>
      </c>
      <c r="D2987" s="5">
        <v>0</v>
      </c>
      <c r="E2987" t="s">
        <v>2093</v>
      </c>
    </row>
    <row r="2988" spans="1:5" hidden="1" x14ac:dyDescent="0.25">
      <c r="A2988">
        <v>56</v>
      </c>
      <c r="B2988">
        <v>20</v>
      </c>
      <c r="C2988" t="s">
        <v>39</v>
      </c>
      <c r="D2988" s="4">
        <v>0</v>
      </c>
      <c r="E2988" t="s">
        <v>39</v>
      </c>
    </row>
    <row r="2989" spans="1:5" x14ac:dyDescent="0.25">
      <c r="A2989">
        <v>56</v>
      </c>
      <c r="B2989">
        <v>20</v>
      </c>
      <c r="C2989" t="s">
        <v>2094</v>
      </c>
      <c r="D2989" s="5">
        <v>45</v>
      </c>
      <c r="E2989" t="s">
        <v>2095</v>
      </c>
    </row>
    <row r="2990" spans="1:5" hidden="1" x14ac:dyDescent="0.25">
      <c r="A2990">
        <v>56</v>
      </c>
      <c r="B2990">
        <v>20</v>
      </c>
      <c r="C2990" t="s">
        <v>39</v>
      </c>
      <c r="D2990" s="4">
        <v>0</v>
      </c>
      <c r="E2990" t="s">
        <v>39</v>
      </c>
    </row>
    <row r="2991" spans="1:5" hidden="1" x14ac:dyDescent="0.25">
      <c r="A2991">
        <v>56</v>
      </c>
      <c r="B2991">
        <v>20</v>
      </c>
      <c r="C2991" t="s">
        <v>39</v>
      </c>
      <c r="D2991" s="4">
        <v>0</v>
      </c>
      <c r="E2991" t="s">
        <v>39</v>
      </c>
    </row>
    <row r="2992" spans="1:5" x14ac:dyDescent="0.25">
      <c r="A2992">
        <v>56</v>
      </c>
      <c r="B2992">
        <v>20</v>
      </c>
      <c r="C2992" t="s">
        <v>2096</v>
      </c>
      <c r="D2992" s="5">
        <v>0</v>
      </c>
      <c r="E2992" t="s">
        <v>2097</v>
      </c>
    </row>
    <row r="2993" spans="1:5" x14ac:dyDescent="0.25">
      <c r="A2993">
        <v>57</v>
      </c>
      <c r="B2993">
        <v>1</v>
      </c>
      <c r="C2993" t="s">
        <v>2099</v>
      </c>
      <c r="D2993" s="5">
        <v>0</v>
      </c>
      <c r="E2993" t="s">
        <v>2136</v>
      </c>
    </row>
    <row r="2994" spans="1:5" hidden="1" x14ac:dyDescent="0.25">
      <c r="A2994">
        <v>57</v>
      </c>
      <c r="B2994">
        <v>1</v>
      </c>
      <c r="C2994" t="s">
        <v>39</v>
      </c>
      <c r="D2994" s="4">
        <v>0</v>
      </c>
      <c r="E2994" t="s">
        <v>39</v>
      </c>
    </row>
    <row r="2995" spans="1:5" x14ac:dyDescent="0.25">
      <c r="A2995">
        <v>57</v>
      </c>
      <c r="B2995">
        <v>1</v>
      </c>
      <c r="C2995" t="s">
        <v>2100</v>
      </c>
      <c r="D2995" s="5">
        <v>0</v>
      </c>
      <c r="E2995" t="s">
        <v>2138</v>
      </c>
    </row>
    <row r="2996" spans="1:5" hidden="1" x14ac:dyDescent="0.25">
      <c r="A2996">
        <v>57</v>
      </c>
      <c r="B2996">
        <v>1</v>
      </c>
      <c r="C2996" t="s">
        <v>39</v>
      </c>
      <c r="D2996" s="4">
        <v>0</v>
      </c>
      <c r="E2996" t="s">
        <v>39</v>
      </c>
    </row>
    <row r="2997" spans="1:5" x14ac:dyDescent="0.25">
      <c r="A2997">
        <v>57</v>
      </c>
      <c r="B2997">
        <v>1</v>
      </c>
      <c r="C2997" t="s">
        <v>2101</v>
      </c>
      <c r="D2997" s="5">
        <v>0</v>
      </c>
      <c r="E2997" t="s">
        <v>2102</v>
      </c>
    </row>
    <row r="2998" spans="1:5" hidden="1" x14ac:dyDescent="0.25">
      <c r="A2998">
        <v>57</v>
      </c>
      <c r="B2998">
        <v>1</v>
      </c>
      <c r="C2998" t="s">
        <v>39</v>
      </c>
      <c r="D2998" s="4">
        <v>0</v>
      </c>
      <c r="E2998" t="s">
        <v>39</v>
      </c>
    </row>
    <row r="2999" spans="1:5" x14ac:dyDescent="0.25">
      <c r="A2999">
        <v>57</v>
      </c>
      <c r="B2999">
        <v>1</v>
      </c>
      <c r="C2999" t="s">
        <v>2103</v>
      </c>
      <c r="D2999" s="5">
        <v>0</v>
      </c>
      <c r="E2999" t="s">
        <v>2104</v>
      </c>
    </row>
    <row r="3000" spans="1:5" hidden="1" x14ac:dyDescent="0.25">
      <c r="A3000">
        <v>57</v>
      </c>
      <c r="B3000">
        <v>1</v>
      </c>
      <c r="C3000" t="s">
        <v>39</v>
      </c>
      <c r="D3000" s="4">
        <v>0</v>
      </c>
      <c r="E3000" t="s">
        <v>39</v>
      </c>
    </row>
    <row r="3001" spans="1:5" hidden="1" x14ac:dyDescent="0.25">
      <c r="A3001">
        <v>57</v>
      </c>
      <c r="B3001">
        <v>4</v>
      </c>
      <c r="C3001" t="s">
        <v>39</v>
      </c>
      <c r="D3001" s="4">
        <v>0</v>
      </c>
      <c r="E3001" t="s">
        <v>39</v>
      </c>
    </row>
    <row r="3002" spans="1:5" x14ac:dyDescent="0.25">
      <c r="A3002">
        <v>57</v>
      </c>
      <c r="B3002">
        <v>4</v>
      </c>
      <c r="C3002" t="s">
        <v>2105</v>
      </c>
      <c r="D3002" s="5">
        <v>0</v>
      </c>
      <c r="E3002" t="s">
        <v>2106</v>
      </c>
    </row>
    <row r="3003" spans="1:5" hidden="1" x14ac:dyDescent="0.25">
      <c r="A3003">
        <v>57</v>
      </c>
      <c r="B3003">
        <v>4</v>
      </c>
      <c r="C3003" t="s">
        <v>39</v>
      </c>
      <c r="D3003" s="4">
        <v>0</v>
      </c>
      <c r="E3003" t="s">
        <v>39</v>
      </c>
    </row>
    <row r="3004" spans="1:5" x14ac:dyDescent="0.25">
      <c r="A3004">
        <v>57</v>
      </c>
      <c r="B3004">
        <v>4</v>
      </c>
      <c r="C3004" t="s">
        <v>2107</v>
      </c>
      <c r="D3004" s="5">
        <v>0</v>
      </c>
      <c r="E3004" t="s">
        <v>2108</v>
      </c>
    </row>
    <row r="3005" spans="1:5" hidden="1" x14ac:dyDescent="0.25">
      <c r="A3005">
        <v>57</v>
      </c>
      <c r="B3005">
        <v>4</v>
      </c>
      <c r="C3005" t="s">
        <v>39</v>
      </c>
      <c r="D3005" s="4">
        <v>0</v>
      </c>
      <c r="E3005" t="s">
        <v>39</v>
      </c>
    </row>
    <row r="3006" spans="1:5" x14ac:dyDescent="0.25">
      <c r="A3006">
        <v>57</v>
      </c>
      <c r="B3006">
        <v>4</v>
      </c>
      <c r="C3006" t="s">
        <v>2109</v>
      </c>
      <c r="D3006" s="5">
        <v>0</v>
      </c>
      <c r="E3006" t="s">
        <v>2139</v>
      </c>
    </row>
    <row r="3007" spans="1:5" hidden="1" x14ac:dyDescent="0.25">
      <c r="A3007">
        <v>57</v>
      </c>
      <c r="B3007">
        <v>4</v>
      </c>
      <c r="C3007" t="s">
        <v>39</v>
      </c>
      <c r="D3007" s="4">
        <v>0</v>
      </c>
      <c r="E3007" t="s">
        <v>39</v>
      </c>
    </row>
    <row r="3008" spans="1:5" hidden="1" x14ac:dyDescent="0.25">
      <c r="A3008">
        <v>57</v>
      </c>
      <c r="B3008">
        <v>7</v>
      </c>
      <c r="C3008" t="s">
        <v>39</v>
      </c>
      <c r="D3008" s="4">
        <v>0</v>
      </c>
      <c r="E3008" t="s">
        <v>39</v>
      </c>
    </row>
    <row r="3009" spans="1:5" x14ac:dyDescent="0.25">
      <c r="A3009">
        <v>57</v>
      </c>
      <c r="B3009">
        <v>7</v>
      </c>
      <c r="C3009" t="s">
        <v>2110</v>
      </c>
      <c r="D3009" s="5">
        <v>0</v>
      </c>
      <c r="E3009" t="s">
        <v>2140</v>
      </c>
    </row>
    <row r="3010" spans="1:5" hidden="1" x14ac:dyDescent="0.25">
      <c r="A3010">
        <v>57</v>
      </c>
      <c r="B3010">
        <v>7</v>
      </c>
      <c r="C3010" t="s">
        <v>39</v>
      </c>
      <c r="D3010" s="4">
        <v>0</v>
      </c>
      <c r="E3010" t="s">
        <v>39</v>
      </c>
    </row>
    <row r="3011" spans="1:5" x14ac:dyDescent="0.25">
      <c r="A3011">
        <v>57</v>
      </c>
      <c r="B3011">
        <v>7</v>
      </c>
      <c r="C3011" t="s">
        <v>2111</v>
      </c>
      <c r="D3011" s="5">
        <v>0</v>
      </c>
      <c r="E3011" t="s">
        <v>2112</v>
      </c>
    </row>
    <row r="3012" spans="1:5" hidden="1" x14ac:dyDescent="0.25">
      <c r="A3012">
        <v>57</v>
      </c>
      <c r="B3012">
        <v>7</v>
      </c>
      <c r="C3012" t="s">
        <v>39</v>
      </c>
      <c r="D3012" s="4">
        <v>0</v>
      </c>
      <c r="E3012" t="s">
        <v>39</v>
      </c>
    </row>
    <row r="3013" spans="1:5" x14ac:dyDescent="0.25">
      <c r="A3013">
        <v>57</v>
      </c>
      <c r="B3013">
        <v>7</v>
      </c>
      <c r="C3013" t="s">
        <v>2113</v>
      </c>
      <c r="D3013" s="5">
        <v>20</v>
      </c>
      <c r="E3013" t="s">
        <v>2114</v>
      </c>
    </row>
    <row r="3014" spans="1:5" hidden="1" x14ac:dyDescent="0.25">
      <c r="A3014">
        <v>57</v>
      </c>
      <c r="B3014">
        <v>7</v>
      </c>
      <c r="C3014" t="s">
        <v>39</v>
      </c>
      <c r="D3014" s="4">
        <v>0</v>
      </c>
      <c r="E3014" t="s">
        <v>39</v>
      </c>
    </row>
    <row r="3015" spans="1:5" hidden="1" x14ac:dyDescent="0.25">
      <c r="A3015">
        <v>57</v>
      </c>
      <c r="B3015">
        <v>7</v>
      </c>
      <c r="C3015" t="s">
        <v>39</v>
      </c>
      <c r="D3015" s="4">
        <v>0</v>
      </c>
      <c r="E3015" t="s">
        <v>39</v>
      </c>
    </row>
    <row r="3016" spans="1:5" hidden="1" x14ac:dyDescent="0.25">
      <c r="A3016">
        <v>57</v>
      </c>
      <c r="B3016">
        <v>10</v>
      </c>
      <c r="C3016" t="s">
        <v>39</v>
      </c>
      <c r="D3016" s="4">
        <v>0</v>
      </c>
      <c r="E3016" t="s">
        <v>39</v>
      </c>
    </row>
    <row r="3017" spans="1:5" x14ac:dyDescent="0.25">
      <c r="A3017">
        <v>57</v>
      </c>
      <c r="B3017">
        <v>10</v>
      </c>
      <c r="C3017" t="s">
        <v>2115</v>
      </c>
      <c r="D3017" s="5">
        <v>100</v>
      </c>
      <c r="E3017" t="s">
        <v>2116</v>
      </c>
    </row>
    <row r="3018" spans="1:5" hidden="1" x14ac:dyDescent="0.25">
      <c r="A3018">
        <v>57</v>
      </c>
      <c r="B3018">
        <v>10</v>
      </c>
      <c r="C3018" t="s">
        <v>39</v>
      </c>
      <c r="D3018" s="4">
        <v>0</v>
      </c>
      <c r="E3018" t="s">
        <v>39</v>
      </c>
    </row>
    <row r="3019" spans="1:5" hidden="1" x14ac:dyDescent="0.25">
      <c r="A3019">
        <v>57</v>
      </c>
      <c r="B3019">
        <v>10</v>
      </c>
      <c r="C3019" t="s">
        <v>39</v>
      </c>
      <c r="D3019" s="4">
        <v>0</v>
      </c>
      <c r="E3019" t="s">
        <v>39</v>
      </c>
    </row>
    <row r="3020" spans="1:5" x14ac:dyDescent="0.25">
      <c r="A3020">
        <v>57</v>
      </c>
      <c r="B3020">
        <v>10</v>
      </c>
      <c r="C3020" t="s">
        <v>2117</v>
      </c>
      <c r="D3020" s="5">
        <v>100</v>
      </c>
      <c r="E3020" t="s">
        <v>2137</v>
      </c>
    </row>
    <row r="3021" spans="1:5" hidden="1" x14ac:dyDescent="0.25">
      <c r="A3021">
        <v>57</v>
      </c>
      <c r="B3021">
        <v>10</v>
      </c>
      <c r="C3021" t="s">
        <v>39</v>
      </c>
      <c r="D3021" s="4">
        <v>0</v>
      </c>
      <c r="E3021" t="s">
        <v>39</v>
      </c>
    </row>
    <row r="3022" spans="1:5" hidden="1" x14ac:dyDescent="0.25">
      <c r="A3022">
        <v>57</v>
      </c>
      <c r="B3022">
        <v>10</v>
      </c>
      <c r="C3022" t="s">
        <v>39</v>
      </c>
      <c r="D3022" s="4">
        <v>0</v>
      </c>
      <c r="E3022" t="s">
        <v>39</v>
      </c>
    </row>
    <row r="3023" spans="1:5" hidden="1" x14ac:dyDescent="0.25">
      <c r="A3023">
        <v>57</v>
      </c>
      <c r="B3023">
        <v>13</v>
      </c>
      <c r="C3023" t="s">
        <v>39</v>
      </c>
      <c r="D3023" s="4">
        <v>0</v>
      </c>
      <c r="E3023" t="s">
        <v>39</v>
      </c>
    </row>
    <row r="3024" spans="1:5" x14ac:dyDescent="0.25">
      <c r="A3024">
        <v>57</v>
      </c>
      <c r="B3024">
        <v>13</v>
      </c>
      <c r="C3024" t="s">
        <v>2118</v>
      </c>
      <c r="D3024" s="5">
        <v>0</v>
      </c>
      <c r="E3024" t="s">
        <v>2119</v>
      </c>
    </row>
    <row r="3025" spans="1:5" hidden="1" x14ac:dyDescent="0.25">
      <c r="A3025">
        <v>57</v>
      </c>
      <c r="B3025">
        <v>13</v>
      </c>
      <c r="C3025" t="s">
        <v>39</v>
      </c>
      <c r="D3025" s="4">
        <v>0</v>
      </c>
      <c r="E3025" t="s">
        <v>39</v>
      </c>
    </row>
    <row r="3026" spans="1:5" x14ac:dyDescent="0.25">
      <c r="A3026">
        <v>57</v>
      </c>
      <c r="B3026">
        <v>13</v>
      </c>
      <c r="C3026" t="s">
        <v>2669</v>
      </c>
      <c r="D3026" s="5">
        <v>0</v>
      </c>
      <c r="E3026" t="s">
        <v>2120</v>
      </c>
    </row>
    <row r="3027" spans="1:5" hidden="1" x14ac:dyDescent="0.25">
      <c r="A3027">
        <v>57</v>
      </c>
      <c r="B3027">
        <v>13</v>
      </c>
      <c r="C3027" t="s">
        <v>39</v>
      </c>
      <c r="D3027" s="4">
        <v>0</v>
      </c>
      <c r="E3027" t="s">
        <v>39</v>
      </c>
    </row>
    <row r="3028" spans="1:5" x14ac:dyDescent="0.25">
      <c r="A3028">
        <v>57</v>
      </c>
      <c r="B3028">
        <v>13</v>
      </c>
      <c r="C3028" t="s">
        <v>2121</v>
      </c>
      <c r="D3028" s="5">
        <v>0</v>
      </c>
      <c r="E3028" t="s">
        <v>2670</v>
      </c>
    </row>
    <row r="3029" spans="1:5" hidden="1" x14ac:dyDescent="0.25">
      <c r="A3029">
        <v>57</v>
      </c>
      <c r="B3029">
        <v>13</v>
      </c>
      <c r="C3029" t="s">
        <v>39</v>
      </c>
      <c r="D3029" s="4">
        <v>0</v>
      </c>
      <c r="E3029" t="s">
        <v>39</v>
      </c>
    </row>
    <row r="3030" spans="1:5" x14ac:dyDescent="0.25">
      <c r="A3030">
        <v>57</v>
      </c>
      <c r="B3030">
        <v>13</v>
      </c>
      <c r="C3030" t="s">
        <v>2122</v>
      </c>
      <c r="D3030" s="5">
        <v>0</v>
      </c>
      <c r="E3030" t="s">
        <v>2123</v>
      </c>
    </row>
    <row r="3031" spans="1:5" hidden="1" x14ac:dyDescent="0.25">
      <c r="A3031">
        <v>57</v>
      </c>
      <c r="B3031">
        <v>13</v>
      </c>
      <c r="C3031" t="s">
        <v>39</v>
      </c>
      <c r="D3031" s="4">
        <v>0</v>
      </c>
      <c r="E3031" t="s">
        <v>39</v>
      </c>
    </row>
    <row r="3032" spans="1:5" hidden="1" x14ac:dyDescent="0.25">
      <c r="A3032">
        <v>57</v>
      </c>
      <c r="B3032">
        <v>16</v>
      </c>
      <c r="C3032" t="s">
        <v>39</v>
      </c>
      <c r="D3032" s="4">
        <v>0</v>
      </c>
      <c r="E3032" t="s">
        <v>39</v>
      </c>
    </row>
    <row r="3033" spans="1:5" x14ac:dyDescent="0.25">
      <c r="A3033">
        <v>57</v>
      </c>
      <c r="B3033">
        <v>16</v>
      </c>
      <c r="C3033" t="s">
        <v>2124</v>
      </c>
      <c r="D3033" s="5">
        <v>0</v>
      </c>
      <c r="E3033" t="s">
        <v>2125</v>
      </c>
    </row>
    <row r="3034" spans="1:5" hidden="1" x14ac:dyDescent="0.25">
      <c r="A3034">
        <v>57</v>
      </c>
      <c r="B3034">
        <v>16</v>
      </c>
      <c r="C3034" t="s">
        <v>39</v>
      </c>
      <c r="D3034" s="4">
        <v>0</v>
      </c>
      <c r="E3034" t="s">
        <v>39</v>
      </c>
    </row>
    <row r="3035" spans="1:5" x14ac:dyDescent="0.25">
      <c r="A3035">
        <v>57</v>
      </c>
      <c r="B3035">
        <v>16</v>
      </c>
      <c r="C3035" t="s">
        <v>2126</v>
      </c>
      <c r="D3035" s="5">
        <v>0</v>
      </c>
      <c r="E3035" t="s">
        <v>2671</v>
      </c>
    </row>
    <row r="3036" spans="1:5" hidden="1" x14ac:dyDescent="0.25">
      <c r="A3036">
        <v>57</v>
      </c>
      <c r="B3036">
        <v>16</v>
      </c>
      <c r="C3036" t="s">
        <v>39</v>
      </c>
      <c r="D3036" s="4">
        <v>0</v>
      </c>
      <c r="E3036" t="s">
        <v>39</v>
      </c>
    </row>
    <row r="3037" spans="1:5" x14ac:dyDescent="0.25">
      <c r="A3037">
        <v>57</v>
      </c>
      <c r="B3037">
        <v>16</v>
      </c>
      <c r="C3037" t="s">
        <v>2127</v>
      </c>
      <c r="D3037" s="5">
        <v>0</v>
      </c>
      <c r="E3037" t="s">
        <v>2672</v>
      </c>
    </row>
    <row r="3038" spans="1:5" hidden="1" x14ac:dyDescent="0.25">
      <c r="A3038">
        <v>57</v>
      </c>
      <c r="B3038">
        <v>16</v>
      </c>
      <c r="C3038" t="s">
        <v>39</v>
      </c>
      <c r="D3038" s="4">
        <v>0</v>
      </c>
      <c r="E3038" t="s">
        <v>39</v>
      </c>
    </row>
    <row r="3039" spans="1:5" x14ac:dyDescent="0.25">
      <c r="A3039">
        <v>57</v>
      </c>
      <c r="B3039">
        <v>16</v>
      </c>
      <c r="C3039" t="s">
        <v>2128</v>
      </c>
      <c r="D3039" s="5">
        <v>0</v>
      </c>
      <c r="E3039" t="s">
        <v>2673</v>
      </c>
    </row>
    <row r="3040" spans="1:5" hidden="1" x14ac:dyDescent="0.25">
      <c r="A3040">
        <v>57</v>
      </c>
      <c r="B3040">
        <v>16</v>
      </c>
      <c r="C3040" t="s">
        <v>39</v>
      </c>
      <c r="D3040" s="4">
        <v>0</v>
      </c>
      <c r="E3040" t="s">
        <v>39</v>
      </c>
    </row>
    <row r="3041" spans="1:5" hidden="1" x14ac:dyDescent="0.25">
      <c r="A3041">
        <v>57</v>
      </c>
      <c r="B3041">
        <v>20</v>
      </c>
      <c r="C3041" t="s">
        <v>39</v>
      </c>
      <c r="D3041" s="4">
        <v>0</v>
      </c>
      <c r="E3041" t="s">
        <v>39</v>
      </c>
    </row>
    <row r="3042" spans="1:5" x14ac:dyDescent="0.25">
      <c r="A3042">
        <v>57</v>
      </c>
      <c r="B3042">
        <v>20</v>
      </c>
      <c r="C3042" t="s">
        <v>2129</v>
      </c>
      <c r="D3042" s="5">
        <v>0</v>
      </c>
      <c r="E3042" t="s">
        <v>2130</v>
      </c>
    </row>
    <row r="3043" spans="1:5" hidden="1" x14ac:dyDescent="0.25">
      <c r="A3043">
        <v>57</v>
      </c>
      <c r="B3043">
        <v>20</v>
      </c>
      <c r="C3043" t="s">
        <v>39</v>
      </c>
      <c r="D3043" s="4">
        <v>0</v>
      </c>
      <c r="E3043" t="s">
        <v>39</v>
      </c>
    </row>
    <row r="3044" spans="1:5" x14ac:dyDescent="0.25">
      <c r="A3044">
        <v>57</v>
      </c>
      <c r="B3044">
        <v>20</v>
      </c>
      <c r="C3044" t="s">
        <v>2131</v>
      </c>
      <c r="D3044" s="5">
        <v>0</v>
      </c>
      <c r="E3044" t="s">
        <v>2132</v>
      </c>
    </row>
    <row r="3045" spans="1:5" hidden="1" x14ac:dyDescent="0.25">
      <c r="A3045">
        <v>57</v>
      </c>
      <c r="B3045">
        <v>20</v>
      </c>
      <c r="C3045" t="s">
        <v>39</v>
      </c>
      <c r="D3045" s="4">
        <v>0</v>
      </c>
      <c r="E3045" t="s">
        <v>39</v>
      </c>
    </row>
    <row r="3046" spans="1:5" x14ac:dyDescent="0.25">
      <c r="A3046">
        <v>57</v>
      </c>
      <c r="B3046">
        <v>20</v>
      </c>
      <c r="C3046" t="s">
        <v>501</v>
      </c>
      <c r="D3046" s="5">
        <v>0</v>
      </c>
      <c r="E3046" t="s">
        <v>2133</v>
      </c>
    </row>
    <row r="3047" spans="1:5" hidden="1" x14ac:dyDescent="0.25">
      <c r="A3047">
        <v>57</v>
      </c>
      <c r="B3047">
        <v>20</v>
      </c>
      <c r="C3047" t="s">
        <v>39</v>
      </c>
      <c r="D3047" s="4">
        <v>0</v>
      </c>
      <c r="E3047" t="s">
        <v>39</v>
      </c>
    </row>
    <row r="3048" spans="1:5" x14ac:dyDescent="0.25">
      <c r="A3048">
        <v>57</v>
      </c>
      <c r="B3048">
        <v>20</v>
      </c>
      <c r="C3048" t="s">
        <v>2134</v>
      </c>
      <c r="D3048" s="5">
        <v>0</v>
      </c>
      <c r="E3048" t="s">
        <v>2135</v>
      </c>
    </row>
    <row r="3049" spans="1:5" x14ac:dyDescent="0.25">
      <c r="A3049">
        <v>58</v>
      </c>
      <c r="B3049">
        <v>1</v>
      </c>
      <c r="C3049" t="s">
        <v>2141</v>
      </c>
      <c r="D3049" s="5">
        <v>0</v>
      </c>
      <c r="E3049" t="s">
        <v>2178</v>
      </c>
    </row>
    <row r="3050" spans="1:5" hidden="1" x14ac:dyDescent="0.25">
      <c r="A3050">
        <v>58</v>
      </c>
      <c r="B3050">
        <v>1</v>
      </c>
      <c r="C3050" t="s">
        <v>39</v>
      </c>
      <c r="D3050" s="4">
        <v>0</v>
      </c>
      <c r="E3050" t="s">
        <v>39</v>
      </c>
    </row>
    <row r="3051" spans="1:5" x14ac:dyDescent="0.25">
      <c r="A3051">
        <v>58</v>
      </c>
      <c r="B3051">
        <v>1</v>
      </c>
      <c r="C3051" t="s">
        <v>2142</v>
      </c>
      <c r="D3051" s="5">
        <v>0</v>
      </c>
      <c r="E3051" t="s">
        <v>2179</v>
      </c>
    </row>
    <row r="3052" spans="1:5" hidden="1" x14ac:dyDescent="0.25">
      <c r="A3052">
        <v>58</v>
      </c>
      <c r="B3052">
        <v>1</v>
      </c>
      <c r="C3052" t="s">
        <v>39</v>
      </c>
      <c r="D3052" s="4">
        <v>0</v>
      </c>
      <c r="E3052" t="s">
        <v>39</v>
      </c>
    </row>
    <row r="3053" spans="1:5" x14ac:dyDescent="0.25">
      <c r="A3053">
        <v>58</v>
      </c>
      <c r="B3053">
        <v>1</v>
      </c>
      <c r="C3053" t="s">
        <v>2143</v>
      </c>
      <c r="D3053" s="5">
        <v>0</v>
      </c>
      <c r="E3053" t="s">
        <v>2674</v>
      </c>
    </row>
    <row r="3054" spans="1:5" hidden="1" x14ac:dyDescent="0.25">
      <c r="A3054">
        <v>58</v>
      </c>
      <c r="B3054">
        <v>1</v>
      </c>
      <c r="C3054" t="s">
        <v>39</v>
      </c>
      <c r="D3054" s="4">
        <v>0</v>
      </c>
      <c r="E3054" t="s">
        <v>39</v>
      </c>
    </row>
    <row r="3055" spans="1:5" hidden="1" x14ac:dyDescent="0.25">
      <c r="A3055">
        <v>58</v>
      </c>
      <c r="B3055">
        <v>4</v>
      </c>
      <c r="C3055" t="s">
        <v>39</v>
      </c>
      <c r="D3055" s="4">
        <v>0</v>
      </c>
      <c r="E3055" t="s">
        <v>39</v>
      </c>
    </row>
    <row r="3056" spans="1:5" x14ac:dyDescent="0.25">
      <c r="A3056">
        <v>58</v>
      </c>
      <c r="B3056">
        <v>4</v>
      </c>
      <c r="C3056" t="s">
        <v>2144</v>
      </c>
      <c r="D3056" s="5">
        <v>0</v>
      </c>
      <c r="E3056" t="s">
        <v>2145</v>
      </c>
    </row>
    <row r="3057" spans="1:5" hidden="1" x14ac:dyDescent="0.25">
      <c r="A3057">
        <v>58</v>
      </c>
      <c r="B3057">
        <v>4</v>
      </c>
      <c r="C3057" t="s">
        <v>39</v>
      </c>
      <c r="D3057" s="4">
        <v>0</v>
      </c>
      <c r="E3057" t="s">
        <v>39</v>
      </c>
    </row>
    <row r="3058" spans="1:5" x14ac:dyDescent="0.25">
      <c r="A3058">
        <v>58</v>
      </c>
      <c r="B3058">
        <v>4</v>
      </c>
      <c r="C3058" t="s">
        <v>2146</v>
      </c>
      <c r="D3058" s="5">
        <v>0</v>
      </c>
      <c r="E3058" t="s">
        <v>2147</v>
      </c>
    </row>
    <row r="3059" spans="1:5" hidden="1" x14ac:dyDescent="0.25">
      <c r="A3059">
        <v>58</v>
      </c>
      <c r="B3059">
        <v>4</v>
      </c>
      <c r="C3059" t="s">
        <v>39</v>
      </c>
      <c r="D3059" s="4">
        <v>0</v>
      </c>
      <c r="E3059" t="s">
        <v>39</v>
      </c>
    </row>
    <row r="3060" spans="1:5" x14ac:dyDescent="0.25">
      <c r="A3060">
        <v>58</v>
      </c>
      <c r="B3060">
        <v>4</v>
      </c>
      <c r="C3060" t="s">
        <v>2148</v>
      </c>
      <c r="D3060" s="5">
        <v>0</v>
      </c>
      <c r="E3060" t="s">
        <v>2180</v>
      </c>
    </row>
    <row r="3061" spans="1:5" hidden="1" x14ac:dyDescent="0.25">
      <c r="A3061">
        <v>58</v>
      </c>
      <c r="B3061">
        <v>4</v>
      </c>
      <c r="C3061" t="s">
        <v>39</v>
      </c>
      <c r="D3061" s="4">
        <v>0</v>
      </c>
      <c r="E3061" t="s">
        <v>39</v>
      </c>
    </row>
    <row r="3062" spans="1:5" hidden="1" x14ac:dyDescent="0.25">
      <c r="A3062">
        <v>58</v>
      </c>
      <c r="B3062">
        <v>7</v>
      </c>
      <c r="C3062" t="s">
        <v>39</v>
      </c>
      <c r="D3062" s="4">
        <v>0</v>
      </c>
      <c r="E3062" t="s">
        <v>39</v>
      </c>
    </row>
    <row r="3063" spans="1:5" x14ac:dyDescent="0.25">
      <c r="A3063">
        <v>58</v>
      </c>
      <c r="B3063">
        <v>7</v>
      </c>
      <c r="C3063" t="s">
        <v>2149</v>
      </c>
      <c r="D3063" s="5">
        <v>0</v>
      </c>
      <c r="E3063" t="s">
        <v>2150</v>
      </c>
    </row>
    <row r="3064" spans="1:5" hidden="1" x14ac:dyDescent="0.25">
      <c r="A3064">
        <v>58</v>
      </c>
      <c r="B3064">
        <v>7</v>
      </c>
      <c r="C3064" t="s">
        <v>39</v>
      </c>
      <c r="D3064" s="4">
        <v>0</v>
      </c>
      <c r="E3064" t="s">
        <v>39</v>
      </c>
    </row>
    <row r="3065" spans="1:5" x14ac:dyDescent="0.25">
      <c r="A3065">
        <v>58</v>
      </c>
      <c r="B3065">
        <v>7</v>
      </c>
      <c r="C3065" t="s">
        <v>2151</v>
      </c>
      <c r="D3065" s="5">
        <v>0</v>
      </c>
      <c r="E3065" t="s">
        <v>2152</v>
      </c>
    </row>
    <row r="3066" spans="1:5" hidden="1" x14ac:dyDescent="0.25">
      <c r="A3066">
        <v>58</v>
      </c>
      <c r="B3066">
        <v>7</v>
      </c>
      <c r="C3066" t="s">
        <v>39</v>
      </c>
      <c r="D3066" s="4">
        <v>0</v>
      </c>
      <c r="E3066" t="s">
        <v>39</v>
      </c>
    </row>
    <row r="3067" spans="1:5" x14ac:dyDescent="0.25">
      <c r="A3067">
        <v>58</v>
      </c>
      <c r="B3067">
        <v>7</v>
      </c>
      <c r="C3067" t="s">
        <v>2153</v>
      </c>
      <c r="D3067" s="5">
        <v>0</v>
      </c>
      <c r="E3067" t="s">
        <v>2154</v>
      </c>
    </row>
    <row r="3068" spans="1:5" hidden="1" x14ac:dyDescent="0.25">
      <c r="A3068">
        <v>58</v>
      </c>
      <c r="B3068">
        <v>7</v>
      </c>
      <c r="C3068" t="s">
        <v>39</v>
      </c>
      <c r="D3068" s="4">
        <v>0</v>
      </c>
      <c r="E3068" t="s">
        <v>39</v>
      </c>
    </row>
    <row r="3069" spans="1:5" hidden="1" x14ac:dyDescent="0.25">
      <c r="A3069">
        <v>58</v>
      </c>
      <c r="B3069">
        <v>10</v>
      </c>
      <c r="C3069" t="s">
        <v>39</v>
      </c>
      <c r="D3069" s="4">
        <v>0</v>
      </c>
      <c r="E3069" t="s">
        <v>39</v>
      </c>
    </row>
    <row r="3070" spans="1:5" x14ac:dyDescent="0.25">
      <c r="A3070">
        <v>58</v>
      </c>
      <c r="B3070">
        <v>10</v>
      </c>
      <c r="C3070" t="s">
        <v>2155</v>
      </c>
      <c r="D3070" s="5">
        <v>60</v>
      </c>
      <c r="E3070" t="s">
        <v>2156</v>
      </c>
    </row>
    <row r="3071" spans="1:5" hidden="1" x14ac:dyDescent="0.25">
      <c r="A3071">
        <v>58</v>
      </c>
      <c r="B3071">
        <v>10</v>
      </c>
      <c r="C3071" t="s">
        <v>39</v>
      </c>
      <c r="D3071" s="4">
        <v>0</v>
      </c>
      <c r="E3071" t="s">
        <v>39</v>
      </c>
    </row>
    <row r="3072" spans="1:5" hidden="1" x14ac:dyDescent="0.25">
      <c r="A3072">
        <v>58</v>
      </c>
      <c r="B3072">
        <v>10</v>
      </c>
      <c r="C3072" t="s">
        <v>39</v>
      </c>
      <c r="D3072" s="4">
        <v>0</v>
      </c>
      <c r="E3072" t="s">
        <v>39</v>
      </c>
    </row>
    <row r="3073" spans="1:5" x14ac:dyDescent="0.25">
      <c r="A3073">
        <v>58</v>
      </c>
      <c r="B3073">
        <v>10</v>
      </c>
      <c r="C3073" t="s">
        <v>2157</v>
      </c>
      <c r="D3073" s="5">
        <v>100</v>
      </c>
      <c r="E3073" t="s">
        <v>2158</v>
      </c>
    </row>
    <row r="3074" spans="1:5" hidden="1" x14ac:dyDescent="0.25">
      <c r="A3074">
        <v>58</v>
      </c>
      <c r="B3074">
        <v>10</v>
      </c>
      <c r="C3074" t="s">
        <v>39</v>
      </c>
      <c r="D3074" s="4">
        <v>0</v>
      </c>
      <c r="E3074" t="s">
        <v>39</v>
      </c>
    </row>
    <row r="3075" spans="1:5" hidden="1" x14ac:dyDescent="0.25">
      <c r="A3075">
        <v>58</v>
      </c>
      <c r="B3075">
        <v>10</v>
      </c>
      <c r="C3075" t="s">
        <v>39</v>
      </c>
      <c r="D3075" s="4">
        <v>0</v>
      </c>
      <c r="E3075" t="s">
        <v>39</v>
      </c>
    </row>
    <row r="3076" spans="1:5" hidden="1" x14ac:dyDescent="0.25">
      <c r="A3076">
        <v>58</v>
      </c>
      <c r="B3076">
        <v>13</v>
      </c>
      <c r="C3076" t="s">
        <v>39</v>
      </c>
      <c r="D3076" s="4">
        <v>0</v>
      </c>
      <c r="E3076" t="s">
        <v>39</v>
      </c>
    </row>
    <row r="3077" spans="1:5" x14ac:dyDescent="0.25">
      <c r="A3077">
        <v>58</v>
      </c>
      <c r="B3077">
        <v>13</v>
      </c>
      <c r="C3077" t="s">
        <v>2159</v>
      </c>
      <c r="D3077" s="5">
        <v>0</v>
      </c>
      <c r="E3077" t="s">
        <v>2160</v>
      </c>
    </row>
    <row r="3078" spans="1:5" hidden="1" x14ac:dyDescent="0.25">
      <c r="A3078">
        <v>58</v>
      </c>
      <c r="B3078">
        <v>13</v>
      </c>
      <c r="C3078" t="s">
        <v>39</v>
      </c>
      <c r="D3078" s="4">
        <v>0</v>
      </c>
      <c r="E3078" t="s">
        <v>39</v>
      </c>
    </row>
    <row r="3079" spans="1:5" x14ac:dyDescent="0.25">
      <c r="A3079">
        <v>58</v>
      </c>
      <c r="B3079">
        <v>13</v>
      </c>
      <c r="C3079" t="s">
        <v>2161</v>
      </c>
      <c r="D3079" s="5">
        <v>0</v>
      </c>
      <c r="E3079" t="s">
        <v>2162</v>
      </c>
    </row>
    <row r="3080" spans="1:5" hidden="1" x14ac:dyDescent="0.25">
      <c r="A3080">
        <v>58</v>
      </c>
      <c r="B3080">
        <v>13</v>
      </c>
      <c r="C3080" t="s">
        <v>39</v>
      </c>
      <c r="D3080" s="4">
        <v>0</v>
      </c>
      <c r="E3080" t="s">
        <v>39</v>
      </c>
    </row>
    <row r="3081" spans="1:5" x14ac:dyDescent="0.25">
      <c r="A3081">
        <v>58</v>
      </c>
      <c r="B3081">
        <v>13</v>
      </c>
      <c r="C3081" t="s">
        <v>2163</v>
      </c>
      <c r="D3081" s="5">
        <v>0</v>
      </c>
      <c r="E3081" t="s">
        <v>2164</v>
      </c>
    </row>
    <row r="3082" spans="1:5" hidden="1" x14ac:dyDescent="0.25">
      <c r="A3082">
        <v>58</v>
      </c>
      <c r="B3082">
        <v>13</v>
      </c>
      <c r="C3082" t="s">
        <v>39</v>
      </c>
      <c r="D3082" s="4">
        <v>0</v>
      </c>
      <c r="E3082" t="s">
        <v>39</v>
      </c>
    </row>
    <row r="3083" spans="1:5" hidden="1" x14ac:dyDescent="0.25">
      <c r="A3083">
        <v>58</v>
      </c>
      <c r="B3083">
        <v>16</v>
      </c>
      <c r="C3083" t="s">
        <v>39</v>
      </c>
      <c r="D3083" s="4">
        <v>0</v>
      </c>
      <c r="E3083" t="s">
        <v>39</v>
      </c>
    </row>
    <row r="3084" spans="1:5" x14ac:dyDescent="0.25">
      <c r="A3084">
        <v>58</v>
      </c>
      <c r="B3084">
        <v>16</v>
      </c>
      <c r="C3084" t="s">
        <v>577</v>
      </c>
      <c r="D3084" s="5">
        <v>0</v>
      </c>
      <c r="E3084" t="s">
        <v>2165</v>
      </c>
    </row>
    <row r="3085" spans="1:5" hidden="1" x14ac:dyDescent="0.25">
      <c r="A3085">
        <v>58</v>
      </c>
      <c r="B3085">
        <v>16</v>
      </c>
      <c r="C3085" t="s">
        <v>39</v>
      </c>
      <c r="D3085" s="4">
        <v>0</v>
      </c>
      <c r="E3085" t="s">
        <v>39</v>
      </c>
    </row>
    <row r="3086" spans="1:5" x14ac:dyDescent="0.25">
      <c r="A3086">
        <v>58</v>
      </c>
      <c r="B3086">
        <v>16</v>
      </c>
      <c r="C3086" t="s">
        <v>2166</v>
      </c>
      <c r="D3086" s="5">
        <v>0</v>
      </c>
      <c r="E3086" t="s">
        <v>2167</v>
      </c>
    </row>
    <row r="3087" spans="1:5" hidden="1" x14ac:dyDescent="0.25">
      <c r="A3087">
        <v>58</v>
      </c>
      <c r="B3087">
        <v>16</v>
      </c>
      <c r="C3087" t="s">
        <v>39</v>
      </c>
      <c r="D3087" s="4">
        <v>0</v>
      </c>
      <c r="E3087" t="s">
        <v>39</v>
      </c>
    </row>
    <row r="3088" spans="1:5" x14ac:dyDescent="0.25">
      <c r="A3088">
        <v>58</v>
      </c>
      <c r="B3088">
        <v>16</v>
      </c>
      <c r="C3088" t="s">
        <v>2168</v>
      </c>
      <c r="D3088" s="5">
        <v>0</v>
      </c>
      <c r="E3088" t="s">
        <v>2169</v>
      </c>
    </row>
    <row r="3089" spans="1:5" hidden="1" x14ac:dyDescent="0.25">
      <c r="A3089">
        <v>58</v>
      </c>
      <c r="B3089">
        <v>16</v>
      </c>
      <c r="C3089" t="s">
        <v>39</v>
      </c>
      <c r="D3089" s="4">
        <v>0</v>
      </c>
      <c r="E3089" t="s">
        <v>39</v>
      </c>
    </row>
    <row r="3090" spans="1:5" hidden="1" x14ac:dyDescent="0.25">
      <c r="A3090">
        <v>58</v>
      </c>
      <c r="B3090">
        <v>20</v>
      </c>
      <c r="C3090" t="s">
        <v>39</v>
      </c>
      <c r="D3090" s="4">
        <v>0</v>
      </c>
      <c r="E3090" t="s">
        <v>39</v>
      </c>
    </row>
    <row r="3091" spans="1:5" x14ac:dyDescent="0.25">
      <c r="A3091">
        <v>58</v>
      </c>
      <c r="B3091">
        <v>20</v>
      </c>
      <c r="C3091" t="s">
        <v>2170</v>
      </c>
      <c r="D3091" s="5">
        <v>0</v>
      </c>
      <c r="E3091" t="s">
        <v>2171</v>
      </c>
    </row>
    <row r="3092" spans="1:5" hidden="1" x14ac:dyDescent="0.25">
      <c r="A3092">
        <v>58</v>
      </c>
      <c r="B3092">
        <v>20</v>
      </c>
      <c r="C3092" t="s">
        <v>39</v>
      </c>
      <c r="D3092" s="4">
        <v>0</v>
      </c>
      <c r="E3092" t="s">
        <v>39</v>
      </c>
    </row>
    <row r="3093" spans="1:5" x14ac:dyDescent="0.25">
      <c r="A3093">
        <v>58</v>
      </c>
      <c r="B3093">
        <v>20</v>
      </c>
      <c r="C3093" t="s">
        <v>2172</v>
      </c>
      <c r="D3093" s="5">
        <v>0</v>
      </c>
      <c r="E3093" t="s">
        <v>2173</v>
      </c>
    </row>
    <row r="3094" spans="1:5" hidden="1" x14ac:dyDescent="0.25">
      <c r="A3094">
        <v>58</v>
      </c>
      <c r="B3094">
        <v>20</v>
      </c>
      <c r="C3094" t="s">
        <v>39</v>
      </c>
      <c r="D3094" s="4">
        <v>0</v>
      </c>
      <c r="E3094" t="s">
        <v>39</v>
      </c>
    </row>
    <row r="3095" spans="1:5" x14ac:dyDescent="0.25">
      <c r="A3095">
        <v>58</v>
      </c>
      <c r="B3095">
        <v>20</v>
      </c>
      <c r="C3095" t="s">
        <v>2174</v>
      </c>
      <c r="D3095" s="5">
        <v>0</v>
      </c>
      <c r="E3095" t="s">
        <v>2175</v>
      </c>
    </row>
    <row r="3096" spans="1:5" hidden="1" x14ac:dyDescent="0.25">
      <c r="A3096">
        <v>58</v>
      </c>
      <c r="B3096">
        <v>20</v>
      </c>
      <c r="C3096" t="s">
        <v>39</v>
      </c>
      <c r="D3096" s="4">
        <v>0</v>
      </c>
      <c r="E3096" t="s">
        <v>39</v>
      </c>
    </row>
    <row r="3097" spans="1:5" x14ac:dyDescent="0.25">
      <c r="A3097">
        <v>58</v>
      </c>
      <c r="B3097">
        <v>20</v>
      </c>
      <c r="C3097" t="s">
        <v>2176</v>
      </c>
      <c r="D3097" s="5">
        <v>90</v>
      </c>
      <c r="E3097" t="s">
        <v>2177</v>
      </c>
    </row>
    <row r="3098" spans="1:5" x14ac:dyDescent="0.25">
      <c r="A3098">
        <v>59</v>
      </c>
      <c r="B3098">
        <v>1</v>
      </c>
      <c r="C3098" t="s">
        <v>2182</v>
      </c>
      <c r="D3098" s="5">
        <v>0</v>
      </c>
      <c r="E3098" t="s">
        <v>2218</v>
      </c>
    </row>
    <row r="3099" spans="1:5" hidden="1" x14ac:dyDescent="0.25">
      <c r="A3099">
        <v>59</v>
      </c>
      <c r="B3099">
        <v>1</v>
      </c>
      <c r="C3099" t="s">
        <v>39</v>
      </c>
      <c r="D3099" s="4">
        <v>0</v>
      </c>
      <c r="E3099" t="s">
        <v>39</v>
      </c>
    </row>
    <row r="3100" spans="1:5" x14ac:dyDescent="0.25">
      <c r="A3100">
        <v>59</v>
      </c>
      <c r="B3100">
        <v>1</v>
      </c>
      <c r="C3100" t="s">
        <v>2183</v>
      </c>
      <c r="D3100" s="5">
        <v>0</v>
      </c>
      <c r="E3100" t="s">
        <v>2184</v>
      </c>
    </row>
    <row r="3101" spans="1:5" hidden="1" x14ac:dyDescent="0.25">
      <c r="A3101">
        <v>59</v>
      </c>
      <c r="B3101">
        <v>1</v>
      </c>
      <c r="C3101" t="s">
        <v>39</v>
      </c>
      <c r="D3101" s="4">
        <v>0</v>
      </c>
      <c r="E3101" t="s">
        <v>39</v>
      </c>
    </row>
    <row r="3102" spans="1:5" x14ac:dyDescent="0.25">
      <c r="A3102">
        <v>59</v>
      </c>
      <c r="B3102">
        <v>1</v>
      </c>
      <c r="C3102" t="s">
        <v>2185</v>
      </c>
      <c r="D3102" s="5">
        <v>0</v>
      </c>
      <c r="E3102" t="s">
        <v>2675</v>
      </c>
    </row>
    <row r="3103" spans="1:5" hidden="1" x14ac:dyDescent="0.25">
      <c r="A3103">
        <v>59</v>
      </c>
      <c r="B3103">
        <v>1</v>
      </c>
      <c r="C3103" t="s">
        <v>39</v>
      </c>
      <c r="D3103" s="4">
        <v>0</v>
      </c>
      <c r="E3103" t="s">
        <v>39</v>
      </c>
    </row>
    <row r="3104" spans="1:5" hidden="1" x14ac:dyDescent="0.25">
      <c r="A3104">
        <v>59</v>
      </c>
      <c r="B3104">
        <v>4</v>
      </c>
      <c r="C3104" t="s">
        <v>39</v>
      </c>
      <c r="D3104" s="4">
        <v>0</v>
      </c>
      <c r="E3104" t="s">
        <v>39</v>
      </c>
    </row>
    <row r="3105" spans="1:5" x14ac:dyDescent="0.25">
      <c r="A3105">
        <v>59</v>
      </c>
      <c r="B3105">
        <v>4</v>
      </c>
      <c r="C3105" t="s">
        <v>2186</v>
      </c>
      <c r="D3105" s="5">
        <v>0</v>
      </c>
      <c r="E3105" t="s">
        <v>2187</v>
      </c>
    </row>
    <row r="3106" spans="1:5" hidden="1" x14ac:dyDescent="0.25">
      <c r="A3106">
        <v>59</v>
      </c>
      <c r="B3106">
        <v>4</v>
      </c>
      <c r="C3106" t="s">
        <v>39</v>
      </c>
      <c r="D3106" s="4">
        <v>0</v>
      </c>
      <c r="E3106" t="s">
        <v>39</v>
      </c>
    </row>
    <row r="3107" spans="1:5" x14ac:dyDescent="0.25">
      <c r="A3107">
        <v>59</v>
      </c>
      <c r="B3107">
        <v>4</v>
      </c>
      <c r="C3107" t="s">
        <v>2188</v>
      </c>
      <c r="D3107" s="5">
        <v>0</v>
      </c>
      <c r="E3107" t="s">
        <v>2189</v>
      </c>
    </row>
    <row r="3108" spans="1:5" hidden="1" x14ac:dyDescent="0.25">
      <c r="A3108">
        <v>59</v>
      </c>
      <c r="B3108">
        <v>4</v>
      </c>
      <c r="C3108" t="s">
        <v>39</v>
      </c>
      <c r="D3108" s="4">
        <v>0</v>
      </c>
      <c r="E3108" t="s">
        <v>39</v>
      </c>
    </row>
    <row r="3109" spans="1:5" x14ac:dyDescent="0.25">
      <c r="A3109">
        <v>59</v>
      </c>
      <c r="B3109">
        <v>4</v>
      </c>
      <c r="C3109" t="s">
        <v>2190</v>
      </c>
      <c r="D3109" s="5">
        <v>0</v>
      </c>
      <c r="E3109" t="s">
        <v>2191</v>
      </c>
    </row>
    <row r="3110" spans="1:5" hidden="1" x14ac:dyDescent="0.25">
      <c r="A3110">
        <v>59</v>
      </c>
      <c r="B3110">
        <v>4</v>
      </c>
      <c r="C3110" t="s">
        <v>39</v>
      </c>
      <c r="D3110" s="4">
        <v>0</v>
      </c>
      <c r="E3110" t="s">
        <v>39</v>
      </c>
    </row>
    <row r="3111" spans="1:5" hidden="1" x14ac:dyDescent="0.25">
      <c r="A3111">
        <v>59</v>
      </c>
      <c r="B3111">
        <v>7</v>
      </c>
      <c r="C3111" t="s">
        <v>39</v>
      </c>
      <c r="D3111" s="4">
        <v>0</v>
      </c>
      <c r="E3111" t="s">
        <v>39</v>
      </c>
    </row>
    <row r="3112" spans="1:5" x14ac:dyDescent="0.25">
      <c r="A3112">
        <v>59</v>
      </c>
      <c r="B3112">
        <v>7</v>
      </c>
      <c r="C3112" t="s">
        <v>2192</v>
      </c>
      <c r="D3112" s="5">
        <v>0</v>
      </c>
      <c r="E3112" t="s">
        <v>2193</v>
      </c>
    </row>
    <row r="3113" spans="1:5" hidden="1" x14ac:dyDescent="0.25">
      <c r="A3113">
        <v>59</v>
      </c>
      <c r="B3113">
        <v>7</v>
      </c>
      <c r="C3113" t="s">
        <v>39</v>
      </c>
      <c r="D3113" s="4">
        <v>0</v>
      </c>
      <c r="E3113" t="s">
        <v>39</v>
      </c>
    </row>
    <row r="3114" spans="1:5" x14ac:dyDescent="0.25">
      <c r="A3114">
        <v>59</v>
      </c>
      <c r="B3114">
        <v>7</v>
      </c>
      <c r="C3114" t="s">
        <v>2194</v>
      </c>
      <c r="D3114" s="5">
        <v>0</v>
      </c>
      <c r="E3114" t="s">
        <v>2195</v>
      </c>
    </row>
    <row r="3115" spans="1:5" hidden="1" x14ac:dyDescent="0.25">
      <c r="A3115">
        <v>59</v>
      </c>
      <c r="B3115">
        <v>7</v>
      </c>
      <c r="C3115" t="s">
        <v>39</v>
      </c>
      <c r="D3115" s="4">
        <v>0</v>
      </c>
      <c r="E3115" t="s">
        <v>39</v>
      </c>
    </row>
    <row r="3116" spans="1:5" x14ac:dyDescent="0.25">
      <c r="A3116">
        <v>59</v>
      </c>
      <c r="B3116">
        <v>7</v>
      </c>
      <c r="C3116" t="s">
        <v>2196</v>
      </c>
      <c r="D3116" s="5">
        <v>0</v>
      </c>
      <c r="E3116" t="s">
        <v>2197</v>
      </c>
    </row>
    <row r="3117" spans="1:5" hidden="1" x14ac:dyDescent="0.25">
      <c r="A3117">
        <v>59</v>
      </c>
      <c r="B3117">
        <v>7</v>
      </c>
      <c r="C3117" t="s">
        <v>39</v>
      </c>
      <c r="D3117" s="4">
        <v>0</v>
      </c>
      <c r="E3117" t="s">
        <v>39</v>
      </c>
    </row>
    <row r="3118" spans="1:5" hidden="1" x14ac:dyDescent="0.25">
      <c r="A3118">
        <v>59</v>
      </c>
      <c r="B3118">
        <v>10</v>
      </c>
      <c r="C3118" t="s">
        <v>39</v>
      </c>
      <c r="D3118" s="4">
        <v>0</v>
      </c>
      <c r="E3118" t="s">
        <v>39</v>
      </c>
    </row>
    <row r="3119" spans="1:5" x14ac:dyDescent="0.25">
      <c r="A3119">
        <v>59</v>
      </c>
      <c r="B3119">
        <v>10</v>
      </c>
      <c r="C3119" t="s">
        <v>2198</v>
      </c>
      <c r="D3119" s="5">
        <v>110</v>
      </c>
      <c r="E3119" t="s">
        <v>2199</v>
      </c>
    </row>
    <row r="3120" spans="1:5" hidden="1" x14ac:dyDescent="0.25">
      <c r="A3120">
        <v>59</v>
      </c>
      <c r="B3120">
        <v>10</v>
      </c>
      <c r="C3120" t="s">
        <v>39</v>
      </c>
      <c r="D3120" s="4">
        <v>0</v>
      </c>
      <c r="E3120" t="s">
        <v>39</v>
      </c>
    </row>
    <row r="3121" spans="1:5" hidden="1" x14ac:dyDescent="0.25">
      <c r="A3121">
        <v>59</v>
      </c>
      <c r="B3121">
        <v>10</v>
      </c>
      <c r="C3121" t="s">
        <v>39</v>
      </c>
      <c r="D3121" s="4">
        <v>0</v>
      </c>
      <c r="E3121" t="s">
        <v>39</v>
      </c>
    </row>
    <row r="3122" spans="1:5" x14ac:dyDescent="0.25">
      <c r="A3122">
        <v>59</v>
      </c>
      <c r="B3122">
        <v>10</v>
      </c>
      <c r="C3122" t="s">
        <v>2200</v>
      </c>
      <c r="D3122" s="5">
        <v>6</v>
      </c>
      <c r="E3122" t="s">
        <v>2219</v>
      </c>
    </row>
    <row r="3123" spans="1:5" hidden="1" x14ac:dyDescent="0.25">
      <c r="A3123">
        <v>59</v>
      </c>
      <c r="B3123">
        <v>10</v>
      </c>
      <c r="C3123" t="s">
        <v>39</v>
      </c>
      <c r="D3123" s="4">
        <v>0</v>
      </c>
      <c r="E3123" t="s">
        <v>39</v>
      </c>
    </row>
    <row r="3124" spans="1:5" hidden="1" x14ac:dyDescent="0.25">
      <c r="A3124">
        <v>59</v>
      </c>
      <c r="B3124">
        <v>10</v>
      </c>
      <c r="C3124" t="s">
        <v>39</v>
      </c>
      <c r="D3124" s="4">
        <v>0</v>
      </c>
      <c r="E3124" t="s">
        <v>39</v>
      </c>
    </row>
    <row r="3125" spans="1:5" hidden="1" x14ac:dyDescent="0.25">
      <c r="A3125">
        <v>59</v>
      </c>
      <c r="B3125">
        <v>13</v>
      </c>
      <c r="C3125" t="s">
        <v>39</v>
      </c>
      <c r="D3125" s="4">
        <v>0</v>
      </c>
      <c r="E3125" t="s">
        <v>39</v>
      </c>
    </row>
    <row r="3126" spans="1:5" x14ac:dyDescent="0.25">
      <c r="A3126">
        <v>59</v>
      </c>
      <c r="B3126">
        <v>13</v>
      </c>
      <c r="C3126" t="s">
        <v>2201</v>
      </c>
      <c r="D3126" s="5">
        <v>0</v>
      </c>
      <c r="E3126" t="s">
        <v>2202</v>
      </c>
    </row>
    <row r="3127" spans="1:5" hidden="1" x14ac:dyDescent="0.25">
      <c r="A3127">
        <v>59</v>
      </c>
      <c r="B3127">
        <v>13</v>
      </c>
      <c r="C3127" t="s">
        <v>39</v>
      </c>
      <c r="D3127" s="4">
        <v>0</v>
      </c>
      <c r="E3127" t="s">
        <v>39</v>
      </c>
    </row>
    <row r="3128" spans="1:5" x14ac:dyDescent="0.25">
      <c r="A3128">
        <v>59</v>
      </c>
      <c r="B3128">
        <v>13</v>
      </c>
      <c r="C3128" t="s">
        <v>2203</v>
      </c>
      <c r="D3128" s="5">
        <v>0</v>
      </c>
      <c r="E3128" t="s">
        <v>2204</v>
      </c>
    </row>
    <row r="3129" spans="1:5" hidden="1" x14ac:dyDescent="0.25">
      <c r="A3129">
        <v>59</v>
      </c>
      <c r="B3129">
        <v>13</v>
      </c>
      <c r="C3129" t="s">
        <v>39</v>
      </c>
      <c r="D3129" s="4">
        <v>0</v>
      </c>
      <c r="E3129" t="s">
        <v>39</v>
      </c>
    </row>
    <row r="3130" spans="1:5" x14ac:dyDescent="0.25">
      <c r="A3130">
        <v>59</v>
      </c>
      <c r="B3130">
        <v>13</v>
      </c>
      <c r="C3130" t="s">
        <v>2205</v>
      </c>
      <c r="D3130" s="5">
        <v>0</v>
      </c>
      <c r="E3130" t="s">
        <v>2676</v>
      </c>
    </row>
    <row r="3131" spans="1:5" hidden="1" x14ac:dyDescent="0.25">
      <c r="A3131">
        <v>59</v>
      </c>
      <c r="B3131">
        <v>13</v>
      </c>
      <c r="C3131" t="s">
        <v>39</v>
      </c>
      <c r="D3131" s="4">
        <v>0</v>
      </c>
      <c r="E3131" t="s">
        <v>39</v>
      </c>
    </row>
    <row r="3132" spans="1:5" hidden="1" x14ac:dyDescent="0.25">
      <c r="A3132">
        <v>59</v>
      </c>
      <c r="B3132">
        <v>16</v>
      </c>
      <c r="C3132" t="s">
        <v>39</v>
      </c>
      <c r="D3132" s="4">
        <v>0</v>
      </c>
      <c r="E3132" t="s">
        <v>39</v>
      </c>
    </row>
    <row r="3133" spans="1:5" x14ac:dyDescent="0.25">
      <c r="A3133">
        <v>59</v>
      </c>
      <c r="B3133">
        <v>16</v>
      </c>
      <c r="C3133" t="s">
        <v>2206</v>
      </c>
      <c r="D3133" s="5">
        <v>0</v>
      </c>
      <c r="E3133" t="s">
        <v>2207</v>
      </c>
    </row>
    <row r="3134" spans="1:5" hidden="1" x14ac:dyDescent="0.25">
      <c r="A3134">
        <v>59</v>
      </c>
      <c r="B3134">
        <v>16</v>
      </c>
      <c r="C3134" t="s">
        <v>39</v>
      </c>
      <c r="D3134" s="4">
        <v>0</v>
      </c>
      <c r="E3134" t="s">
        <v>39</v>
      </c>
    </row>
    <row r="3135" spans="1:5" x14ac:dyDescent="0.25">
      <c r="A3135">
        <v>59</v>
      </c>
      <c r="B3135">
        <v>16</v>
      </c>
      <c r="C3135" t="s">
        <v>2208</v>
      </c>
      <c r="D3135" s="5">
        <v>0</v>
      </c>
      <c r="E3135" t="s">
        <v>2209</v>
      </c>
    </row>
    <row r="3136" spans="1:5" hidden="1" x14ac:dyDescent="0.25">
      <c r="A3136">
        <v>59</v>
      </c>
      <c r="B3136">
        <v>16</v>
      </c>
      <c r="C3136" t="s">
        <v>39</v>
      </c>
      <c r="D3136" s="4">
        <v>0</v>
      </c>
      <c r="E3136" t="s">
        <v>39</v>
      </c>
    </row>
    <row r="3137" spans="1:5" x14ac:dyDescent="0.25">
      <c r="A3137">
        <v>59</v>
      </c>
      <c r="B3137">
        <v>16</v>
      </c>
      <c r="C3137" t="s">
        <v>2210</v>
      </c>
      <c r="D3137" s="5">
        <v>0</v>
      </c>
      <c r="E3137" t="s">
        <v>2211</v>
      </c>
    </row>
    <row r="3138" spans="1:5" hidden="1" x14ac:dyDescent="0.25">
      <c r="A3138">
        <v>59</v>
      </c>
      <c r="B3138">
        <v>16</v>
      </c>
      <c r="C3138" t="s">
        <v>39</v>
      </c>
      <c r="D3138" s="4">
        <v>0</v>
      </c>
      <c r="E3138" t="s">
        <v>39</v>
      </c>
    </row>
    <row r="3139" spans="1:5" hidden="1" x14ac:dyDescent="0.25">
      <c r="A3139">
        <v>59</v>
      </c>
      <c r="B3139">
        <v>20</v>
      </c>
      <c r="C3139" t="s">
        <v>39</v>
      </c>
      <c r="D3139" s="4">
        <v>0</v>
      </c>
      <c r="E3139" t="s">
        <v>39</v>
      </c>
    </row>
    <row r="3140" spans="1:5" x14ac:dyDescent="0.25">
      <c r="A3140">
        <v>59</v>
      </c>
      <c r="B3140">
        <v>20</v>
      </c>
      <c r="C3140" t="s">
        <v>2212</v>
      </c>
      <c r="D3140" s="5">
        <v>0</v>
      </c>
      <c r="E3140" t="s">
        <v>2213</v>
      </c>
    </row>
    <row r="3141" spans="1:5" hidden="1" x14ac:dyDescent="0.25">
      <c r="A3141">
        <v>59</v>
      </c>
      <c r="B3141">
        <v>20</v>
      </c>
      <c r="C3141" t="s">
        <v>39</v>
      </c>
      <c r="D3141" s="4">
        <v>0</v>
      </c>
      <c r="E3141" t="s">
        <v>39</v>
      </c>
    </row>
    <row r="3142" spans="1:5" x14ac:dyDescent="0.25">
      <c r="A3142">
        <v>59</v>
      </c>
      <c r="B3142">
        <v>20</v>
      </c>
      <c r="C3142" t="s">
        <v>2214</v>
      </c>
      <c r="D3142" s="5">
        <v>0</v>
      </c>
      <c r="E3142" t="s">
        <v>2215</v>
      </c>
    </row>
    <row r="3143" spans="1:5" hidden="1" x14ac:dyDescent="0.25">
      <c r="A3143">
        <v>59</v>
      </c>
      <c r="B3143">
        <v>20</v>
      </c>
      <c r="C3143" t="s">
        <v>39</v>
      </c>
      <c r="D3143" s="4">
        <v>0</v>
      </c>
      <c r="E3143" t="s">
        <v>39</v>
      </c>
    </row>
    <row r="3144" spans="1:5" x14ac:dyDescent="0.25">
      <c r="A3144">
        <v>59</v>
      </c>
      <c r="B3144">
        <v>20</v>
      </c>
      <c r="C3144" t="s">
        <v>2216</v>
      </c>
      <c r="D3144" s="5">
        <v>0</v>
      </c>
      <c r="E3144" t="s">
        <v>2677</v>
      </c>
    </row>
    <row r="3145" spans="1:5" hidden="1" x14ac:dyDescent="0.25">
      <c r="A3145">
        <v>59</v>
      </c>
      <c r="B3145">
        <v>20</v>
      </c>
      <c r="C3145" t="s">
        <v>39</v>
      </c>
      <c r="D3145" s="4">
        <v>0</v>
      </c>
      <c r="E3145" t="s">
        <v>39</v>
      </c>
    </row>
    <row r="3146" spans="1:5" x14ac:dyDescent="0.25">
      <c r="A3146">
        <v>59</v>
      </c>
      <c r="B3146">
        <v>20</v>
      </c>
      <c r="C3146" t="s">
        <v>2678</v>
      </c>
      <c r="D3146" s="5">
        <v>0</v>
      </c>
      <c r="E3146" t="s">
        <v>2217</v>
      </c>
    </row>
    <row r="3147" spans="1:5" x14ac:dyDescent="0.25">
      <c r="A3147">
        <v>60</v>
      </c>
      <c r="B3147">
        <v>1</v>
      </c>
      <c r="C3147" t="s">
        <v>2679</v>
      </c>
      <c r="D3147" s="5">
        <v>0</v>
      </c>
      <c r="E3147" t="s">
        <v>2680</v>
      </c>
    </row>
    <row r="3148" spans="1:5" hidden="1" x14ac:dyDescent="0.25">
      <c r="A3148">
        <v>60</v>
      </c>
      <c r="B3148">
        <v>1</v>
      </c>
      <c r="C3148" t="s">
        <v>39</v>
      </c>
      <c r="D3148" s="4">
        <v>0</v>
      </c>
      <c r="E3148" t="s">
        <v>39</v>
      </c>
    </row>
    <row r="3149" spans="1:5" x14ac:dyDescent="0.25">
      <c r="A3149">
        <v>60</v>
      </c>
      <c r="B3149">
        <v>1</v>
      </c>
      <c r="C3149" t="s">
        <v>2220</v>
      </c>
      <c r="D3149" s="5">
        <v>0</v>
      </c>
      <c r="E3149" t="s">
        <v>2681</v>
      </c>
    </row>
    <row r="3150" spans="1:5" hidden="1" x14ac:dyDescent="0.25">
      <c r="A3150">
        <v>60</v>
      </c>
      <c r="B3150">
        <v>1</v>
      </c>
      <c r="C3150" t="s">
        <v>39</v>
      </c>
      <c r="D3150" s="4">
        <v>0</v>
      </c>
      <c r="E3150" t="s">
        <v>39</v>
      </c>
    </row>
    <row r="3151" spans="1:5" x14ac:dyDescent="0.25">
      <c r="A3151">
        <v>60</v>
      </c>
      <c r="B3151">
        <v>1</v>
      </c>
      <c r="C3151" t="s">
        <v>2682</v>
      </c>
      <c r="D3151" s="5">
        <v>0</v>
      </c>
      <c r="E3151" t="s">
        <v>2256</v>
      </c>
    </row>
    <row r="3152" spans="1:5" hidden="1" x14ac:dyDescent="0.25">
      <c r="A3152">
        <v>60</v>
      </c>
      <c r="B3152">
        <v>1</v>
      </c>
      <c r="C3152" t="s">
        <v>39</v>
      </c>
      <c r="D3152" s="4">
        <v>0</v>
      </c>
      <c r="E3152" t="s">
        <v>39</v>
      </c>
    </row>
    <row r="3153" spans="1:5" hidden="1" x14ac:dyDescent="0.25">
      <c r="A3153">
        <v>60</v>
      </c>
      <c r="B3153">
        <v>4</v>
      </c>
      <c r="C3153" t="s">
        <v>39</v>
      </c>
      <c r="D3153" s="4">
        <v>0</v>
      </c>
      <c r="E3153" t="s">
        <v>39</v>
      </c>
    </row>
    <row r="3154" spans="1:5" x14ac:dyDescent="0.25">
      <c r="A3154">
        <v>60</v>
      </c>
      <c r="B3154">
        <v>4</v>
      </c>
      <c r="C3154" t="s">
        <v>2221</v>
      </c>
      <c r="D3154" s="5">
        <v>0</v>
      </c>
      <c r="E3154" t="s">
        <v>2222</v>
      </c>
    </row>
    <row r="3155" spans="1:5" hidden="1" x14ac:dyDescent="0.25">
      <c r="A3155">
        <v>60</v>
      </c>
      <c r="B3155">
        <v>4</v>
      </c>
      <c r="C3155" t="s">
        <v>39</v>
      </c>
      <c r="D3155" s="4">
        <v>0</v>
      </c>
      <c r="E3155" t="s">
        <v>39</v>
      </c>
    </row>
    <row r="3156" spans="1:5" x14ac:dyDescent="0.25">
      <c r="A3156">
        <v>60</v>
      </c>
      <c r="B3156">
        <v>4</v>
      </c>
      <c r="C3156" t="s">
        <v>2223</v>
      </c>
      <c r="D3156" s="5">
        <v>0</v>
      </c>
      <c r="E3156" t="s">
        <v>2224</v>
      </c>
    </row>
    <row r="3157" spans="1:5" hidden="1" x14ac:dyDescent="0.25">
      <c r="A3157">
        <v>60</v>
      </c>
      <c r="B3157">
        <v>4</v>
      </c>
      <c r="C3157" t="s">
        <v>39</v>
      </c>
      <c r="D3157" s="4">
        <v>0</v>
      </c>
      <c r="E3157" t="s">
        <v>39</v>
      </c>
    </row>
    <row r="3158" spans="1:5" hidden="1" x14ac:dyDescent="0.25">
      <c r="A3158">
        <v>60</v>
      </c>
      <c r="B3158">
        <v>7</v>
      </c>
      <c r="C3158" t="s">
        <v>39</v>
      </c>
      <c r="D3158" s="4">
        <v>0</v>
      </c>
      <c r="E3158" t="s">
        <v>39</v>
      </c>
    </row>
    <row r="3159" spans="1:5" x14ac:dyDescent="0.25">
      <c r="A3159">
        <v>60</v>
      </c>
      <c r="B3159">
        <v>7</v>
      </c>
      <c r="C3159" t="s">
        <v>2225</v>
      </c>
      <c r="D3159" s="5">
        <v>0</v>
      </c>
      <c r="E3159" t="s">
        <v>2226</v>
      </c>
    </row>
    <row r="3160" spans="1:5" hidden="1" x14ac:dyDescent="0.25">
      <c r="A3160">
        <v>60</v>
      </c>
      <c r="B3160">
        <v>7</v>
      </c>
      <c r="C3160" t="s">
        <v>39</v>
      </c>
      <c r="D3160" s="4">
        <v>0</v>
      </c>
      <c r="E3160" t="s">
        <v>39</v>
      </c>
    </row>
    <row r="3161" spans="1:5" x14ac:dyDescent="0.25">
      <c r="A3161">
        <v>60</v>
      </c>
      <c r="B3161">
        <v>7</v>
      </c>
      <c r="C3161" t="s">
        <v>2227</v>
      </c>
      <c r="D3161" s="5">
        <v>0</v>
      </c>
      <c r="E3161" t="s">
        <v>2228</v>
      </c>
    </row>
    <row r="3162" spans="1:5" hidden="1" x14ac:dyDescent="0.25">
      <c r="A3162">
        <v>60</v>
      </c>
      <c r="B3162">
        <v>7</v>
      </c>
      <c r="C3162" t="s">
        <v>39</v>
      </c>
      <c r="D3162" s="4">
        <v>0</v>
      </c>
      <c r="E3162" t="s">
        <v>39</v>
      </c>
    </row>
    <row r="3163" spans="1:5" x14ac:dyDescent="0.25">
      <c r="A3163">
        <v>60</v>
      </c>
      <c r="B3163">
        <v>7</v>
      </c>
      <c r="C3163" t="s">
        <v>2229</v>
      </c>
      <c r="D3163" s="5">
        <v>0</v>
      </c>
      <c r="E3163" t="s">
        <v>2683</v>
      </c>
    </row>
    <row r="3164" spans="1:5" hidden="1" x14ac:dyDescent="0.25">
      <c r="A3164">
        <v>60</v>
      </c>
      <c r="B3164">
        <v>7</v>
      </c>
      <c r="C3164" t="s">
        <v>39</v>
      </c>
      <c r="D3164" s="4">
        <v>0</v>
      </c>
      <c r="E3164" t="s">
        <v>39</v>
      </c>
    </row>
    <row r="3165" spans="1:5" hidden="1" x14ac:dyDescent="0.25">
      <c r="A3165">
        <v>60</v>
      </c>
      <c r="B3165">
        <v>10</v>
      </c>
      <c r="C3165" t="s">
        <v>39</v>
      </c>
      <c r="D3165" s="4">
        <v>0</v>
      </c>
      <c r="E3165" t="s">
        <v>39</v>
      </c>
    </row>
    <row r="3166" spans="1:5" x14ac:dyDescent="0.25">
      <c r="A3166">
        <v>60</v>
      </c>
      <c r="B3166">
        <v>10</v>
      </c>
      <c r="C3166" t="s">
        <v>2230</v>
      </c>
      <c r="D3166" s="5">
        <v>16</v>
      </c>
      <c r="E3166" t="s">
        <v>2231</v>
      </c>
    </row>
    <row r="3167" spans="1:5" hidden="1" x14ac:dyDescent="0.25">
      <c r="A3167">
        <v>60</v>
      </c>
      <c r="B3167">
        <v>10</v>
      </c>
      <c r="C3167" t="s">
        <v>39</v>
      </c>
      <c r="D3167" s="4">
        <v>0</v>
      </c>
      <c r="E3167" t="s">
        <v>39</v>
      </c>
    </row>
    <row r="3168" spans="1:5" hidden="1" x14ac:dyDescent="0.25">
      <c r="A3168">
        <v>60</v>
      </c>
      <c r="B3168">
        <v>10</v>
      </c>
      <c r="C3168" t="s">
        <v>39</v>
      </c>
      <c r="D3168" s="4">
        <v>0</v>
      </c>
      <c r="E3168" t="s">
        <v>39</v>
      </c>
    </row>
    <row r="3169" spans="1:5" hidden="1" x14ac:dyDescent="0.25">
      <c r="A3169">
        <v>60</v>
      </c>
      <c r="B3169">
        <v>10</v>
      </c>
      <c r="C3169" t="s">
        <v>39</v>
      </c>
      <c r="D3169" s="4">
        <v>0</v>
      </c>
      <c r="E3169" t="s">
        <v>39</v>
      </c>
    </row>
    <row r="3170" spans="1:5" x14ac:dyDescent="0.25">
      <c r="A3170">
        <v>60</v>
      </c>
      <c r="B3170">
        <v>10</v>
      </c>
      <c r="C3170" t="s">
        <v>2232</v>
      </c>
      <c r="D3170" s="5">
        <v>20</v>
      </c>
      <c r="E3170" t="s">
        <v>2233</v>
      </c>
    </row>
    <row r="3171" spans="1:5" hidden="1" x14ac:dyDescent="0.25">
      <c r="A3171">
        <v>60</v>
      </c>
      <c r="B3171">
        <v>10</v>
      </c>
      <c r="C3171" t="s">
        <v>39</v>
      </c>
      <c r="D3171" s="4">
        <v>0</v>
      </c>
      <c r="E3171" t="s">
        <v>39</v>
      </c>
    </row>
    <row r="3172" spans="1:5" hidden="1" x14ac:dyDescent="0.25">
      <c r="A3172">
        <v>60</v>
      </c>
      <c r="B3172">
        <v>10</v>
      </c>
      <c r="C3172" t="s">
        <v>39</v>
      </c>
      <c r="D3172" s="4">
        <v>0</v>
      </c>
      <c r="E3172" t="s">
        <v>39</v>
      </c>
    </row>
    <row r="3173" spans="1:5" hidden="1" x14ac:dyDescent="0.25">
      <c r="A3173">
        <v>60</v>
      </c>
      <c r="B3173">
        <v>10</v>
      </c>
      <c r="C3173" t="s">
        <v>39</v>
      </c>
      <c r="D3173" s="4">
        <v>0</v>
      </c>
      <c r="E3173" t="s">
        <v>39</v>
      </c>
    </row>
    <row r="3174" spans="1:5" hidden="1" x14ac:dyDescent="0.25">
      <c r="A3174">
        <v>60</v>
      </c>
      <c r="B3174">
        <v>10</v>
      </c>
      <c r="C3174" t="s">
        <v>39</v>
      </c>
      <c r="D3174" s="4">
        <v>0</v>
      </c>
      <c r="E3174" t="s">
        <v>39</v>
      </c>
    </row>
    <row r="3175" spans="1:5" x14ac:dyDescent="0.25">
      <c r="A3175">
        <v>60</v>
      </c>
      <c r="B3175">
        <v>10</v>
      </c>
      <c r="C3175" t="s">
        <v>2234</v>
      </c>
      <c r="D3175" s="5">
        <v>0</v>
      </c>
      <c r="E3175" t="s">
        <v>2684</v>
      </c>
    </row>
    <row r="3176" spans="1:5" hidden="1" x14ac:dyDescent="0.25">
      <c r="A3176">
        <v>60</v>
      </c>
      <c r="B3176">
        <v>10</v>
      </c>
      <c r="C3176" t="s">
        <v>39</v>
      </c>
      <c r="D3176" s="4">
        <v>0</v>
      </c>
      <c r="E3176" t="s">
        <v>39</v>
      </c>
    </row>
    <row r="3177" spans="1:5" hidden="1" x14ac:dyDescent="0.25">
      <c r="A3177">
        <v>60</v>
      </c>
      <c r="B3177">
        <v>10</v>
      </c>
      <c r="C3177" t="s">
        <v>39</v>
      </c>
      <c r="D3177" s="4">
        <v>0</v>
      </c>
      <c r="E3177" t="s">
        <v>39</v>
      </c>
    </row>
    <row r="3178" spans="1:5" hidden="1" x14ac:dyDescent="0.25">
      <c r="A3178">
        <v>60</v>
      </c>
      <c r="B3178">
        <v>10</v>
      </c>
      <c r="C3178" t="s">
        <v>39</v>
      </c>
      <c r="D3178" s="4">
        <v>0</v>
      </c>
      <c r="E3178" t="s">
        <v>39</v>
      </c>
    </row>
    <row r="3179" spans="1:5" hidden="1" x14ac:dyDescent="0.25">
      <c r="A3179">
        <v>60</v>
      </c>
      <c r="B3179">
        <v>13</v>
      </c>
      <c r="C3179" t="s">
        <v>39</v>
      </c>
      <c r="D3179" s="4">
        <v>0</v>
      </c>
      <c r="E3179" t="s">
        <v>39</v>
      </c>
    </row>
    <row r="3180" spans="1:5" x14ac:dyDescent="0.25">
      <c r="A3180">
        <v>60</v>
      </c>
      <c r="B3180">
        <v>13</v>
      </c>
      <c r="C3180" t="s">
        <v>2235</v>
      </c>
      <c r="D3180" s="5">
        <v>0</v>
      </c>
      <c r="E3180" t="s">
        <v>2236</v>
      </c>
    </row>
    <row r="3181" spans="1:5" hidden="1" x14ac:dyDescent="0.25">
      <c r="A3181">
        <v>60</v>
      </c>
      <c r="B3181">
        <v>13</v>
      </c>
      <c r="C3181" t="s">
        <v>39</v>
      </c>
      <c r="D3181" s="4">
        <v>0</v>
      </c>
      <c r="E3181" t="s">
        <v>39</v>
      </c>
    </row>
    <row r="3182" spans="1:5" x14ac:dyDescent="0.25">
      <c r="A3182">
        <v>60</v>
      </c>
      <c r="B3182">
        <v>13</v>
      </c>
      <c r="C3182" t="s">
        <v>2237</v>
      </c>
      <c r="D3182" s="5">
        <v>0</v>
      </c>
      <c r="E3182" t="s">
        <v>2238</v>
      </c>
    </row>
    <row r="3183" spans="1:5" hidden="1" x14ac:dyDescent="0.25">
      <c r="A3183">
        <v>60</v>
      </c>
      <c r="B3183">
        <v>13</v>
      </c>
      <c r="C3183" t="s">
        <v>39</v>
      </c>
      <c r="D3183" s="4">
        <v>0</v>
      </c>
      <c r="E3183" t="s">
        <v>39</v>
      </c>
    </row>
    <row r="3184" spans="1:5" x14ac:dyDescent="0.25">
      <c r="A3184">
        <v>60</v>
      </c>
      <c r="B3184">
        <v>13</v>
      </c>
      <c r="C3184" t="s">
        <v>2239</v>
      </c>
      <c r="D3184" s="5">
        <v>30</v>
      </c>
      <c r="E3184" t="s">
        <v>2240</v>
      </c>
    </row>
    <row r="3185" spans="1:5" hidden="1" x14ac:dyDescent="0.25">
      <c r="A3185">
        <v>60</v>
      </c>
      <c r="B3185">
        <v>13</v>
      </c>
      <c r="C3185" t="s">
        <v>39</v>
      </c>
      <c r="D3185" s="4">
        <v>0</v>
      </c>
      <c r="E3185" t="s">
        <v>39</v>
      </c>
    </row>
    <row r="3186" spans="1:5" hidden="1" x14ac:dyDescent="0.25">
      <c r="A3186">
        <v>60</v>
      </c>
      <c r="B3186">
        <v>13</v>
      </c>
      <c r="C3186" t="s">
        <v>39</v>
      </c>
      <c r="D3186" s="4">
        <v>0</v>
      </c>
      <c r="E3186" t="s">
        <v>39</v>
      </c>
    </row>
    <row r="3187" spans="1:5" hidden="1" x14ac:dyDescent="0.25">
      <c r="A3187">
        <v>60</v>
      </c>
      <c r="B3187">
        <v>16</v>
      </c>
      <c r="C3187" t="s">
        <v>39</v>
      </c>
      <c r="D3187" s="4">
        <v>0</v>
      </c>
      <c r="E3187" t="s">
        <v>39</v>
      </c>
    </row>
    <row r="3188" spans="1:5" x14ac:dyDescent="0.25">
      <c r="A3188">
        <v>60</v>
      </c>
      <c r="B3188">
        <v>16</v>
      </c>
      <c r="C3188" t="s">
        <v>2241</v>
      </c>
      <c r="D3188" s="5">
        <v>45</v>
      </c>
      <c r="E3188" t="s">
        <v>2242</v>
      </c>
    </row>
    <row r="3189" spans="1:5" hidden="1" x14ac:dyDescent="0.25">
      <c r="A3189">
        <v>60</v>
      </c>
      <c r="B3189">
        <v>16</v>
      </c>
      <c r="C3189" t="s">
        <v>39</v>
      </c>
      <c r="D3189" s="4">
        <v>0</v>
      </c>
      <c r="E3189" t="s">
        <v>39</v>
      </c>
    </row>
    <row r="3190" spans="1:5" hidden="1" x14ac:dyDescent="0.25">
      <c r="A3190">
        <v>60</v>
      </c>
      <c r="B3190">
        <v>16</v>
      </c>
      <c r="C3190" t="s">
        <v>39</v>
      </c>
      <c r="D3190" s="4">
        <v>0</v>
      </c>
      <c r="E3190" t="s">
        <v>39</v>
      </c>
    </row>
    <row r="3191" spans="1:5" x14ac:dyDescent="0.25">
      <c r="A3191">
        <v>60</v>
      </c>
      <c r="B3191">
        <v>16</v>
      </c>
      <c r="C3191" t="s">
        <v>2243</v>
      </c>
      <c r="D3191" s="5">
        <v>45</v>
      </c>
      <c r="E3191" t="s">
        <v>2244</v>
      </c>
    </row>
    <row r="3192" spans="1:5" hidden="1" x14ac:dyDescent="0.25">
      <c r="A3192">
        <v>60</v>
      </c>
      <c r="B3192">
        <v>16</v>
      </c>
      <c r="C3192" t="s">
        <v>39</v>
      </c>
      <c r="D3192" s="4">
        <v>0</v>
      </c>
      <c r="E3192" t="s">
        <v>39</v>
      </c>
    </row>
    <row r="3193" spans="1:5" hidden="1" x14ac:dyDescent="0.25">
      <c r="A3193">
        <v>60</v>
      </c>
      <c r="B3193">
        <v>16</v>
      </c>
      <c r="C3193" t="s">
        <v>39</v>
      </c>
      <c r="D3193" s="4">
        <v>0</v>
      </c>
      <c r="E3193" t="s">
        <v>39</v>
      </c>
    </row>
    <row r="3194" spans="1:5" x14ac:dyDescent="0.25">
      <c r="A3194">
        <v>60</v>
      </c>
      <c r="B3194">
        <v>16</v>
      </c>
      <c r="C3194" t="s">
        <v>2245</v>
      </c>
      <c r="D3194" s="5">
        <v>45</v>
      </c>
      <c r="E3194" t="s">
        <v>2246</v>
      </c>
    </row>
    <row r="3195" spans="1:5" hidden="1" x14ac:dyDescent="0.25">
      <c r="A3195">
        <v>60</v>
      </c>
      <c r="B3195">
        <v>16</v>
      </c>
      <c r="C3195" t="s">
        <v>39</v>
      </c>
      <c r="D3195" s="4">
        <v>0</v>
      </c>
      <c r="E3195" t="s">
        <v>39</v>
      </c>
    </row>
    <row r="3196" spans="1:5" hidden="1" x14ac:dyDescent="0.25">
      <c r="A3196">
        <v>60</v>
      </c>
      <c r="B3196">
        <v>16</v>
      </c>
      <c r="C3196" t="s">
        <v>39</v>
      </c>
      <c r="D3196" s="4">
        <v>0</v>
      </c>
      <c r="E3196" t="s">
        <v>39</v>
      </c>
    </row>
    <row r="3197" spans="1:5" hidden="1" x14ac:dyDescent="0.25">
      <c r="A3197">
        <v>60</v>
      </c>
      <c r="B3197">
        <v>20</v>
      </c>
      <c r="C3197" t="s">
        <v>39</v>
      </c>
      <c r="D3197" s="4">
        <v>0</v>
      </c>
      <c r="E3197" t="s">
        <v>39</v>
      </c>
    </row>
    <row r="3198" spans="1:5" x14ac:dyDescent="0.25">
      <c r="A3198">
        <v>60</v>
      </c>
      <c r="B3198">
        <v>20</v>
      </c>
      <c r="C3198" t="s">
        <v>2247</v>
      </c>
      <c r="D3198" s="5">
        <v>0</v>
      </c>
      <c r="E3198" t="s">
        <v>2248</v>
      </c>
    </row>
    <row r="3199" spans="1:5" hidden="1" x14ac:dyDescent="0.25">
      <c r="A3199">
        <v>60</v>
      </c>
      <c r="B3199">
        <v>20</v>
      </c>
      <c r="C3199" t="s">
        <v>39</v>
      </c>
      <c r="D3199" s="4">
        <v>0</v>
      </c>
      <c r="E3199" t="s">
        <v>39</v>
      </c>
    </row>
    <row r="3200" spans="1:5" x14ac:dyDescent="0.25">
      <c r="A3200">
        <v>60</v>
      </c>
      <c r="B3200">
        <v>20</v>
      </c>
      <c r="C3200" t="s">
        <v>2249</v>
      </c>
      <c r="D3200" s="5">
        <v>0</v>
      </c>
      <c r="E3200" t="s">
        <v>2250</v>
      </c>
    </row>
    <row r="3201" spans="1:5" hidden="1" x14ac:dyDescent="0.25">
      <c r="A3201">
        <v>60</v>
      </c>
      <c r="B3201">
        <v>20</v>
      </c>
      <c r="C3201" t="s">
        <v>39</v>
      </c>
      <c r="D3201" s="4">
        <v>0</v>
      </c>
      <c r="E3201" t="s">
        <v>39</v>
      </c>
    </row>
    <row r="3202" spans="1:5" x14ac:dyDescent="0.25">
      <c r="A3202">
        <v>60</v>
      </c>
      <c r="B3202">
        <v>20</v>
      </c>
      <c r="C3202" t="s">
        <v>2251</v>
      </c>
      <c r="D3202" s="5">
        <v>0</v>
      </c>
      <c r="E3202" t="s">
        <v>2685</v>
      </c>
    </row>
    <row r="3203" spans="1:5" hidden="1" x14ac:dyDescent="0.25">
      <c r="A3203">
        <v>60</v>
      </c>
      <c r="B3203">
        <v>20</v>
      </c>
      <c r="C3203" t="s">
        <v>39</v>
      </c>
      <c r="D3203" s="4">
        <v>0</v>
      </c>
      <c r="E3203" t="s">
        <v>39</v>
      </c>
    </row>
    <row r="3204" spans="1:5" x14ac:dyDescent="0.25">
      <c r="A3204">
        <v>60</v>
      </c>
      <c r="B3204">
        <v>20</v>
      </c>
      <c r="C3204" t="s">
        <v>2252</v>
      </c>
      <c r="D3204" s="5">
        <v>0</v>
      </c>
      <c r="E3204" t="s">
        <v>2253</v>
      </c>
    </row>
    <row r="3205" spans="1:5" hidden="1" x14ac:dyDescent="0.25">
      <c r="A3205">
        <v>60</v>
      </c>
      <c r="B3205">
        <v>20</v>
      </c>
      <c r="C3205" t="s">
        <v>39</v>
      </c>
      <c r="D3205" s="4">
        <v>0</v>
      </c>
      <c r="E3205" t="s">
        <v>39</v>
      </c>
    </row>
    <row r="3206" spans="1:5" x14ac:dyDescent="0.25">
      <c r="A3206">
        <v>60</v>
      </c>
      <c r="B3206">
        <v>20</v>
      </c>
      <c r="C3206" t="s">
        <v>2254</v>
      </c>
      <c r="D3206" s="5">
        <v>25</v>
      </c>
      <c r="E3206" t="s">
        <v>2255</v>
      </c>
    </row>
    <row r="3207" spans="1:5" x14ac:dyDescent="0.25">
      <c r="A3207">
        <v>61</v>
      </c>
      <c r="B3207">
        <v>1</v>
      </c>
      <c r="C3207" t="s">
        <v>2257</v>
      </c>
      <c r="D3207" s="5">
        <v>0</v>
      </c>
      <c r="E3207" t="s">
        <v>2258</v>
      </c>
    </row>
    <row r="3208" spans="1:5" hidden="1" x14ac:dyDescent="0.25">
      <c r="A3208">
        <v>61</v>
      </c>
      <c r="B3208">
        <v>1</v>
      </c>
      <c r="C3208" t="s">
        <v>39</v>
      </c>
      <c r="D3208" s="4">
        <v>0</v>
      </c>
      <c r="E3208" t="s">
        <v>39</v>
      </c>
    </row>
    <row r="3209" spans="1:5" x14ac:dyDescent="0.25">
      <c r="A3209">
        <v>61</v>
      </c>
      <c r="B3209">
        <v>1</v>
      </c>
      <c r="C3209" t="s">
        <v>2259</v>
      </c>
      <c r="D3209" s="5">
        <v>0</v>
      </c>
      <c r="E3209" t="s">
        <v>2260</v>
      </c>
    </row>
    <row r="3210" spans="1:5" hidden="1" x14ac:dyDescent="0.25">
      <c r="A3210">
        <v>61</v>
      </c>
      <c r="B3210">
        <v>1</v>
      </c>
      <c r="C3210" t="s">
        <v>39</v>
      </c>
      <c r="D3210" s="4">
        <v>0</v>
      </c>
      <c r="E3210" t="s">
        <v>39</v>
      </c>
    </row>
    <row r="3211" spans="1:5" x14ac:dyDescent="0.25">
      <c r="A3211">
        <v>61</v>
      </c>
      <c r="B3211">
        <v>1</v>
      </c>
      <c r="C3211" t="s">
        <v>2261</v>
      </c>
      <c r="D3211" s="5">
        <v>0</v>
      </c>
      <c r="E3211" t="s">
        <v>2686</v>
      </c>
    </row>
    <row r="3212" spans="1:5" hidden="1" x14ac:dyDescent="0.25">
      <c r="A3212">
        <v>61</v>
      </c>
      <c r="B3212">
        <v>1</v>
      </c>
      <c r="C3212" t="s">
        <v>39</v>
      </c>
      <c r="D3212" s="4">
        <v>0</v>
      </c>
      <c r="E3212" t="s">
        <v>39</v>
      </c>
    </row>
    <row r="3213" spans="1:5" x14ac:dyDescent="0.25">
      <c r="A3213">
        <v>61</v>
      </c>
      <c r="B3213">
        <v>1</v>
      </c>
      <c r="C3213" t="s">
        <v>2262</v>
      </c>
      <c r="D3213" s="5">
        <v>0</v>
      </c>
      <c r="E3213" t="s">
        <v>2263</v>
      </c>
    </row>
    <row r="3214" spans="1:5" hidden="1" x14ac:dyDescent="0.25">
      <c r="A3214">
        <v>61</v>
      </c>
      <c r="B3214">
        <v>1</v>
      </c>
      <c r="C3214" t="s">
        <v>39</v>
      </c>
      <c r="D3214" s="4">
        <v>0</v>
      </c>
      <c r="E3214" t="s">
        <v>39</v>
      </c>
    </row>
    <row r="3215" spans="1:5" hidden="1" x14ac:dyDescent="0.25">
      <c r="A3215">
        <v>61</v>
      </c>
      <c r="B3215">
        <v>4</v>
      </c>
      <c r="C3215" t="s">
        <v>39</v>
      </c>
      <c r="D3215" s="4">
        <v>0</v>
      </c>
      <c r="E3215" t="s">
        <v>39</v>
      </c>
    </row>
    <row r="3216" spans="1:5" x14ac:dyDescent="0.25">
      <c r="A3216">
        <v>61</v>
      </c>
      <c r="B3216">
        <v>4</v>
      </c>
      <c r="C3216" t="s">
        <v>2264</v>
      </c>
      <c r="D3216" s="5">
        <v>0</v>
      </c>
      <c r="E3216" t="s">
        <v>2265</v>
      </c>
    </row>
    <row r="3217" spans="1:5" hidden="1" x14ac:dyDescent="0.25">
      <c r="A3217">
        <v>61</v>
      </c>
      <c r="B3217">
        <v>4</v>
      </c>
      <c r="C3217" t="s">
        <v>39</v>
      </c>
      <c r="D3217" s="4">
        <v>0</v>
      </c>
      <c r="E3217" t="s">
        <v>39</v>
      </c>
    </row>
    <row r="3218" spans="1:5" x14ac:dyDescent="0.25">
      <c r="A3218">
        <v>61</v>
      </c>
      <c r="B3218">
        <v>4</v>
      </c>
      <c r="C3218" t="s">
        <v>2266</v>
      </c>
      <c r="D3218" s="5">
        <v>0</v>
      </c>
      <c r="E3218" t="s">
        <v>2267</v>
      </c>
    </row>
    <row r="3219" spans="1:5" hidden="1" x14ac:dyDescent="0.25">
      <c r="A3219">
        <v>61</v>
      </c>
      <c r="B3219">
        <v>4</v>
      </c>
      <c r="C3219" t="s">
        <v>39</v>
      </c>
      <c r="D3219" s="4">
        <v>0</v>
      </c>
      <c r="E3219" t="s">
        <v>39</v>
      </c>
    </row>
    <row r="3220" spans="1:5" x14ac:dyDescent="0.25">
      <c r="A3220">
        <v>61</v>
      </c>
      <c r="B3220">
        <v>4</v>
      </c>
      <c r="C3220" t="s">
        <v>2268</v>
      </c>
      <c r="D3220" s="5">
        <v>0</v>
      </c>
      <c r="E3220" t="s">
        <v>2687</v>
      </c>
    </row>
    <row r="3221" spans="1:5" hidden="1" x14ac:dyDescent="0.25">
      <c r="A3221">
        <v>61</v>
      </c>
      <c r="B3221">
        <v>4</v>
      </c>
      <c r="C3221" t="s">
        <v>39</v>
      </c>
      <c r="D3221" s="4">
        <v>0</v>
      </c>
      <c r="E3221" t="s">
        <v>39</v>
      </c>
    </row>
    <row r="3222" spans="1:5" x14ac:dyDescent="0.25">
      <c r="A3222">
        <v>61</v>
      </c>
      <c r="B3222">
        <v>4</v>
      </c>
      <c r="C3222" t="s">
        <v>2269</v>
      </c>
      <c r="D3222" s="5">
        <v>0</v>
      </c>
      <c r="E3222" t="s">
        <v>2270</v>
      </c>
    </row>
    <row r="3223" spans="1:5" hidden="1" x14ac:dyDescent="0.25">
      <c r="A3223">
        <v>61</v>
      </c>
      <c r="B3223">
        <v>4</v>
      </c>
      <c r="C3223" t="s">
        <v>39</v>
      </c>
      <c r="D3223" s="4">
        <v>0</v>
      </c>
      <c r="E3223" t="s">
        <v>39</v>
      </c>
    </row>
    <row r="3224" spans="1:5" hidden="1" x14ac:dyDescent="0.25">
      <c r="A3224">
        <v>61</v>
      </c>
      <c r="B3224">
        <v>7</v>
      </c>
      <c r="C3224" t="s">
        <v>39</v>
      </c>
      <c r="D3224" s="4">
        <v>0</v>
      </c>
      <c r="E3224" t="s">
        <v>39</v>
      </c>
    </row>
    <row r="3225" spans="1:5" x14ac:dyDescent="0.25">
      <c r="A3225">
        <v>61</v>
      </c>
      <c r="B3225">
        <v>7</v>
      </c>
      <c r="C3225" t="s">
        <v>2271</v>
      </c>
      <c r="D3225" s="5">
        <v>0</v>
      </c>
      <c r="E3225" t="s">
        <v>2272</v>
      </c>
    </row>
    <row r="3226" spans="1:5" hidden="1" x14ac:dyDescent="0.25">
      <c r="A3226">
        <v>61</v>
      </c>
      <c r="B3226">
        <v>7</v>
      </c>
      <c r="C3226" t="s">
        <v>39</v>
      </c>
      <c r="D3226" s="4">
        <v>0</v>
      </c>
      <c r="E3226" t="s">
        <v>39</v>
      </c>
    </row>
    <row r="3227" spans="1:5" x14ac:dyDescent="0.25">
      <c r="A3227">
        <v>61</v>
      </c>
      <c r="B3227">
        <v>7</v>
      </c>
      <c r="C3227" t="s">
        <v>2273</v>
      </c>
      <c r="D3227" s="5">
        <v>0</v>
      </c>
      <c r="E3227" t="s">
        <v>2274</v>
      </c>
    </row>
    <row r="3228" spans="1:5" hidden="1" x14ac:dyDescent="0.25">
      <c r="A3228">
        <v>61</v>
      </c>
      <c r="B3228">
        <v>7</v>
      </c>
      <c r="C3228" t="s">
        <v>39</v>
      </c>
      <c r="D3228" s="4">
        <v>0</v>
      </c>
      <c r="E3228" t="s">
        <v>39</v>
      </c>
    </row>
    <row r="3229" spans="1:5" x14ac:dyDescent="0.25">
      <c r="A3229">
        <v>61</v>
      </c>
      <c r="B3229">
        <v>7</v>
      </c>
      <c r="C3229" t="s">
        <v>2275</v>
      </c>
      <c r="D3229" s="5">
        <v>0</v>
      </c>
      <c r="E3229" t="s">
        <v>2276</v>
      </c>
    </row>
    <row r="3230" spans="1:5" hidden="1" x14ac:dyDescent="0.25">
      <c r="A3230">
        <v>61</v>
      </c>
      <c r="B3230">
        <v>7</v>
      </c>
      <c r="C3230" t="s">
        <v>39</v>
      </c>
      <c r="D3230" s="4">
        <v>0</v>
      </c>
      <c r="E3230" t="s">
        <v>39</v>
      </c>
    </row>
    <row r="3231" spans="1:5" x14ac:dyDescent="0.25">
      <c r="A3231">
        <v>61</v>
      </c>
      <c r="B3231">
        <v>7</v>
      </c>
      <c r="C3231" t="s">
        <v>2277</v>
      </c>
      <c r="D3231" s="5">
        <v>0</v>
      </c>
      <c r="E3231" t="s">
        <v>2688</v>
      </c>
    </row>
    <row r="3232" spans="1:5" hidden="1" x14ac:dyDescent="0.25">
      <c r="A3232">
        <v>61</v>
      </c>
      <c r="B3232">
        <v>7</v>
      </c>
      <c r="C3232" t="s">
        <v>39</v>
      </c>
      <c r="D3232" s="4">
        <v>0</v>
      </c>
      <c r="E3232" t="s">
        <v>39</v>
      </c>
    </row>
    <row r="3233" spans="1:5" hidden="1" x14ac:dyDescent="0.25">
      <c r="A3233">
        <v>61</v>
      </c>
      <c r="B3233">
        <v>10</v>
      </c>
      <c r="C3233" t="s">
        <v>39</v>
      </c>
      <c r="D3233" s="4">
        <v>0</v>
      </c>
      <c r="E3233" t="s">
        <v>39</v>
      </c>
    </row>
    <row r="3234" spans="1:5" x14ac:dyDescent="0.25">
      <c r="A3234">
        <v>61</v>
      </c>
      <c r="B3234">
        <v>10</v>
      </c>
      <c r="C3234" t="s">
        <v>2278</v>
      </c>
      <c r="D3234" s="5">
        <v>120</v>
      </c>
      <c r="E3234" t="s">
        <v>2279</v>
      </c>
    </row>
    <row r="3235" spans="1:5" hidden="1" x14ac:dyDescent="0.25">
      <c r="A3235">
        <v>61</v>
      </c>
      <c r="B3235">
        <v>10</v>
      </c>
      <c r="C3235" t="s">
        <v>39</v>
      </c>
      <c r="D3235" s="4">
        <v>0</v>
      </c>
      <c r="E3235" t="s">
        <v>39</v>
      </c>
    </row>
    <row r="3236" spans="1:5" hidden="1" x14ac:dyDescent="0.25">
      <c r="A3236">
        <v>61</v>
      </c>
      <c r="B3236">
        <v>10</v>
      </c>
      <c r="C3236" t="s">
        <v>39</v>
      </c>
      <c r="D3236" s="4">
        <v>0</v>
      </c>
      <c r="E3236" t="s">
        <v>39</v>
      </c>
    </row>
    <row r="3237" spans="1:5" x14ac:dyDescent="0.25">
      <c r="A3237">
        <v>61</v>
      </c>
      <c r="B3237">
        <v>10</v>
      </c>
      <c r="C3237" t="s">
        <v>2280</v>
      </c>
      <c r="D3237" s="5">
        <v>45</v>
      </c>
      <c r="E3237" t="s">
        <v>2281</v>
      </c>
    </row>
    <row r="3238" spans="1:5" hidden="1" x14ac:dyDescent="0.25">
      <c r="A3238">
        <v>61</v>
      </c>
      <c r="B3238">
        <v>10</v>
      </c>
      <c r="C3238" t="s">
        <v>39</v>
      </c>
      <c r="D3238" s="4">
        <v>0</v>
      </c>
      <c r="E3238" t="s">
        <v>39</v>
      </c>
    </row>
    <row r="3239" spans="1:5" hidden="1" x14ac:dyDescent="0.25">
      <c r="A3239">
        <v>61</v>
      </c>
      <c r="B3239">
        <v>10</v>
      </c>
      <c r="C3239" t="s">
        <v>39</v>
      </c>
      <c r="D3239" s="4">
        <v>0</v>
      </c>
      <c r="E3239" t="s">
        <v>39</v>
      </c>
    </row>
    <row r="3240" spans="1:5" hidden="1" x14ac:dyDescent="0.25">
      <c r="A3240">
        <v>61</v>
      </c>
      <c r="B3240">
        <v>13</v>
      </c>
      <c r="C3240" t="s">
        <v>39</v>
      </c>
      <c r="D3240" s="4">
        <v>0</v>
      </c>
      <c r="E3240" t="s">
        <v>39</v>
      </c>
    </row>
    <row r="3241" spans="1:5" x14ac:dyDescent="0.25">
      <c r="A3241">
        <v>61</v>
      </c>
      <c r="B3241">
        <v>13</v>
      </c>
      <c r="C3241" t="s">
        <v>2282</v>
      </c>
      <c r="D3241" s="5">
        <v>0</v>
      </c>
      <c r="E3241" t="s">
        <v>2283</v>
      </c>
    </row>
    <row r="3242" spans="1:5" hidden="1" x14ac:dyDescent="0.25">
      <c r="A3242">
        <v>61</v>
      </c>
      <c r="B3242">
        <v>13</v>
      </c>
      <c r="C3242" t="s">
        <v>39</v>
      </c>
      <c r="D3242" s="4">
        <v>0</v>
      </c>
      <c r="E3242" t="s">
        <v>39</v>
      </c>
    </row>
    <row r="3243" spans="1:5" x14ac:dyDescent="0.25">
      <c r="A3243">
        <v>61</v>
      </c>
      <c r="B3243">
        <v>13</v>
      </c>
      <c r="C3243" t="s">
        <v>2284</v>
      </c>
      <c r="D3243" s="5">
        <v>0</v>
      </c>
      <c r="E3243" t="s">
        <v>2285</v>
      </c>
    </row>
    <row r="3244" spans="1:5" hidden="1" x14ac:dyDescent="0.25">
      <c r="A3244">
        <v>61</v>
      </c>
      <c r="B3244">
        <v>13</v>
      </c>
      <c r="C3244" t="s">
        <v>39</v>
      </c>
      <c r="D3244" s="4">
        <v>0</v>
      </c>
      <c r="E3244" t="s">
        <v>39</v>
      </c>
    </row>
    <row r="3245" spans="1:5" x14ac:dyDescent="0.25">
      <c r="A3245">
        <v>61</v>
      </c>
      <c r="B3245">
        <v>13</v>
      </c>
      <c r="C3245" t="s">
        <v>2286</v>
      </c>
      <c r="D3245" s="5">
        <v>0</v>
      </c>
      <c r="E3245" t="s">
        <v>2287</v>
      </c>
    </row>
    <row r="3246" spans="1:5" hidden="1" x14ac:dyDescent="0.25">
      <c r="A3246">
        <v>61</v>
      </c>
      <c r="B3246">
        <v>13</v>
      </c>
      <c r="C3246" t="s">
        <v>39</v>
      </c>
      <c r="D3246" s="4">
        <v>0</v>
      </c>
      <c r="E3246" t="s">
        <v>39</v>
      </c>
    </row>
    <row r="3247" spans="1:5" x14ac:dyDescent="0.25">
      <c r="A3247">
        <v>61</v>
      </c>
      <c r="B3247">
        <v>13</v>
      </c>
      <c r="C3247" t="s">
        <v>2288</v>
      </c>
      <c r="D3247" s="5">
        <v>30</v>
      </c>
      <c r="E3247" t="s">
        <v>2689</v>
      </c>
    </row>
    <row r="3248" spans="1:5" hidden="1" x14ac:dyDescent="0.25">
      <c r="A3248">
        <v>61</v>
      </c>
      <c r="B3248">
        <v>13</v>
      </c>
      <c r="C3248" t="s">
        <v>39</v>
      </c>
      <c r="D3248" s="4">
        <v>0</v>
      </c>
      <c r="E3248" t="s">
        <v>39</v>
      </c>
    </row>
    <row r="3249" spans="1:5" hidden="1" x14ac:dyDescent="0.25">
      <c r="A3249">
        <v>61</v>
      </c>
      <c r="B3249">
        <v>13</v>
      </c>
      <c r="C3249" t="s">
        <v>39</v>
      </c>
      <c r="D3249" s="4">
        <v>0</v>
      </c>
      <c r="E3249" t="s">
        <v>39</v>
      </c>
    </row>
    <row r="3250" spans="1:5" hidden="1" x14ac:dyDescent="0.25">
      <c r="A3250">
        <v>61</v>
      </c>
      <c r="B3250">
        <v>16</v>
      </c>
      <c r="C3250" t="s">
        <v>39</v>
      </c>
      <c r="D3250" s="4">
        <v>0</v>
      </c>
      <c r="E3250" t="s">
        <v>39</v>
      </c>
    </row>
    <row r="3251" spans="1:5" x14ac:dyDescent="0.25">
      <c r="A3251">
        <v>61</v>
      </c>
      <c r="B3251">
        <v>16</v>
      </c>
      <c r="C3251" t="s">
        <v>2289</v>
      </c>
      <c r="D3251" s="5">
        <v>0</v>
      </c>
      <c r="E3251" t="s">
        <v>2290</v>
      </c>
    </row>
    <row r="3252" spans="1:5" hidden="1" x14ac:dyDescent="0.25">
      <c r="A3252">
        <v>61</v>
      </c>
      <c r="B3252">
        <v>16</v>
      </c>
      <c r="C3252" t="s">
        <v>39</v>
      </c>
      <c r="D3252" s="4">
        <v>0</v>
      </c>
      <c r="E3252" t="s">
        <v>39</v>
      </c>
    </row>
    <row r="3253" spans="1:5" x14ac:dyDescent="0.25">
      <c r="A3253">
        <v>61</v>
      </c>
      <c r="B3253">
        <v>16</v>
      </c>
      <c r="C3253" t="s">
        <v>2291</v>
      </c>
      <c r="D3253" s="5">
        <v>0</v>
      </c>
      <c r="E3253" t="s">
        <v>2292</v>
      </c>
    </row>
    <row r="3254" spans="1:5" hidden="1" x14ac:dyDescent="0.25">
      <c r="A3254">
        <v>61</v>
      </c>
      <c r="B3254">
        <v>16</v>
      </c>
      <c r="C3254" t="s">
        <v>39</v>
      </c>
      <c r="D3254" s="4">
        <v>0</v>
      </c>
      <c r="E3254" t="s">
        <v>39</v>
      </c>
    </row>
    <row r="3255" spans="1:5" x14ac:dyDescent="0.25">
      <c r="A3255">
        <v>61</v>
      </c>
      <c r="B3255">
        <v>16</v>
      </c>
      <c r="C3255" t="s">
        <v>2293</v>
      </c>
      <c r="D3255" s="5">
        <v>0</v>
      </c>
      <c r="E3255" t="s">
        <v>2294</v>
      </c>
    </row>
    <row r="3256" spans="1:5" hidden="1" x14ac:dyDescent="0.25">
      <c r="A3256">
        <v>61</v>
      </c>
      <c r="B3256">
        <v>16</v>
      </c>
      <c r="C3256" t="s">
        <v>39</v>
      </c>
      <c r="D3256" s="4">
        <v>0</v>
      </c>
      <c r="E3256" t="s">
        <v>39</v>
      </c>
    </row>
    <row r="3257" spans="1:5" x14ac:dyDescent="0.25">
      <c r="A3257">
        <v>61</v>
      </c>
      <c r="B3257">
        <v>16</v>
      </c>
      <c r="C3257" t="s">
        <v>2295</v>
      </c>
      <c r="D3257" s="5">
        <v>0</v>
      </c>
      <c r="E3257" t="s">
        <v>2690</v>
      </c>
    </row>
    <row r="3258" spans="1:5" hidden="1" x14ac:dyDescent="0.25">
      <c r="A3258">
        <v>61</v>
      </c>
      <c r="B3258">
        <v>16</v>
      </c>
      <c r="C3258" t="s">
        <v>39</v>
      </c>
      <c r="D3258" s="4">
        <v>0</v>
      </c>
      <c r="E3258" t="s">
        <v>39</v>
      </c>
    </row>
    <row r="3259" spans="1:5" hidden="1" x14ac:dyDescent="0.25">
      <c r="A3259">
        <v>61</v>
      </c>
      <c r="B3259">
        <v>20</v>
      </c>
      <c r="C3259" t="s">
        <v>39</v>
      </c>
      <c r="D3259" s="4">
        <v>0</v>
      </c>
      <c r="E3259" t="s">
        <v>39</v>
      </c>
    </row>
    <row r="3260" spans="1:5" x14ac:dyDescent="0.25">
      <c r="A3260">
        <v>61</v>
      </c>
      <c r="B3260">
        <v>20</v>
      </c>
      <c r="C3260" t="s">
        <v>2296</v>
      </c>
      <c r="D3260" s="5">
        <v>0</v>
      </c>
      <c r="E3260" t="s">
        <v>2691</v>
      </c>
    </row>
    <row r="3261" spans="1:5" hidden="1" x14ac:dyDescent="0.25">
      <c r="A3261">
        <v>61</v>
      </c>
      <c r="B3261">
        <v>20</v>
      </c>
      <c r="C3261" t="s">
        <v>39</v>
      </c>
      <c r="D3261" s="4">
        <v>0</v>
      </c>
      <c r="E3261" t="s">
        <v>39</v>
      </c>
    </row>
    <row r="3262" spans="1:5" x14ac:dyDescent="0.25">
      <c r="A3262">
        <v>61</v>
      </c>
      <c r="B3262">
        <v>20</v>
      </c>
      <c r="C3262" t="s">
        <v>2297</v>
      </c>
      <c r="D3262" s="5">
        <v>0</v>
      </c>
      <c r="E3262" t="s">
        <v>2692</v>
      </c>
    </row>
    <row r="3263" spans="1:5" hidden="1" x14ac:dyDescent="0.25">
      <c r="A3263">
        <v>61</v>
      </c>
      <c r="B3263">
        <v>20</v>
      </c>
      <c r="C3263" t="s">
        <v>39</v>
      </c>
      <c r="D3263" s="4">
        <v>0</v>
      </c>
      <c r="E3263" t="s">
        <v>39</v>
      </c>
    </row>
    <row r="3264" spans="1:5" x14ac:dyDescent="0.25">
      <c r="A3264">
        <v>61</v>
      </c>
      <c r="B3264">
        <v>20</v>
      </c>
      <c r="C3264" t="s">
        <v>2298</v>
      </c>
      <c r="D3264" s="5">
        <v>0</v>
      </c>
      <c r="E3264" t="s">
        <v>2299</v>
      </c>
    </row>
    <row r="3265" spans="1:5" hidden="1" x14ac:dyDescent="0.25">
      <c r="A3265">
        <v>61</v>
      </c>
      <c r="B3265">
        <v>20</v>
      </c>
      <c r="C3265" t="s">
        <v>39</v>
      </c>
      <c r="D3265" s="4">
        <v>0</v>
      </c>
      <c r="E3265" t="s">
        <v>39</v>
      </c>
    </row>
    <row r="3266" spans="1:5" x14ac:dyDescent="0.25">
      <c r="A3266">
        <v>61</v>
      </c>
      <c r="B3266">
        <v>20</v>
      </c>
      <c r="C3266" t="s">
        <v>2300</v>
      </c>
      <c r="D3266" s="5">
        <v>45</v>
      </c>
      <c r="E3266" t="s">
        <v>2301</v>
      </c>
    </row>
    <row r="3267" spans="1:5" x14ac:dyDescent="0.25">
      <c r="A3267">
        <v>62</v>
      </c>
      <c r="B3267">
        <v>1</v>
      </c>
      <c r="C3267" t="s">
        <v>2302</v>
      </c>
      <c r="D3267" s="5">
        <v>0</v>
      </c>
      <c r="E3267" t="s">
        <v>2693</v>
      </c>
    </row>
    <row r="3268" spans="1:5" hidden="1" x14ac:dyDescent="0.25">
      <c r="A3268">
        <v>62</v>
      </c>
      <c r="B3268">
        <v>1</v>
      </c>
      <c r="C3268" t="s">
        <v>39</v>
      </c>
      <c r="D3268" s="4">
        <v>0</v>
      </c>
      <c r="E3268" t="s">
        <v>39</v>
      </c>
    </row>
    <row r="3269" spans="1:5" x14ac:dyDescent="0.25">
      <c r="A3269">
        <v>62</v>
      </c>
      <c r="B3269">
        <v>1</v>
      </c>
      <c r="C3269" t="s">
        <v>2303</v>
      </c>
      <c r="D3269" s="5">
        <v>0</v>
      </c>
      <c r="E3269" t="s">
        <v>2304</v>
      </c>
    </row>
    <row r="3270" spans="1:5" hidden="1" x14ac:dyDescent="0.25">
      <c r="A3270">
        <v>62</v>
      </c>
      <c r="B3270">
        <v>1</v>
      </c>
      <c r="C3270" t="s">
        <v>39</v>
      </c>
      <c r="D3270" s="4">
        <v>0</v>
      </c>
      <c r="E3270" t="s">
        <v>39</v>
      </c>
    </row>
    <row r="3271" spans="1:5" x14ac:dyDescent="0.25">
      <c r="A3271">
        <v>62</v>
      </c>
      <c r="B3271">
        <v>1</v>
      </c>
      <c r="C3271" t="s">
        <v>2305</v>
      </c>
      <c r="D3271" s="5">
        <v>0</v>
      </c>
      <c r="E3271" t="s">
        <v>2306</v>
      </c>
    </row>
    <row r="3272" spans="1:5" hidden="1" x14ac:dyDescent="0.25">
      <c r="A3272">
        <v>62</v>
      </c>
      <c r="B3272">
        <v>1</v>
      </c>
      <c r="C3272" t="s">
        <v>39</v>
      </c>
      <c r="D3272" s="4">
        <v>0</v>
      </c>
      <c r="E3272" t="s">
        <v>39</v>
      </c>
    </row>
    <row r="3273" spans="1:5" x14ac:dyDescent="0.25">
      <c r="A3273">
        <v>62</v>
      </c>
      <c r="B3273">
        <v>1</v>
      </c>
      <c r="C3273" t="s">
        <v>2307</v>
      </c>
      <c r="D3273" s="5">
        <v>15</v>
      </c>
      <c r="E3273" t="s">
        <v>2694</v>
      </c>
    </row>
    <row r="3274" spans="1:5" hidden="1" x14ac:dyDescent="0.25">
      <c r="A3274">
        <v>62</v>
      </c>
      <c r="B3274">
        <v>1</v>
      </c>
      <c r="C3274" t="s">
        <v>39</v>
      </c>
      <c r="D3274" s="4">
        <v>0</v>
      </c>
      <c r="E3274" t="s">
        <v>39</v>
      </c>
    </row>
    <row r="3275" spans="1:5" hidden="1" x14ac:dyDescent="0.25">
      <c r="A3275">
        <v>62</v>
      </c>
      <c r="B3275">
        <v>1</v>
      </c>
      <c r="C3275" t="s">
        <v>39</v>
      </c>
      <c r="D3275" s="4">
        <v>0</v>
      </c>
      <c r="E3275" t="s">
        <v>39</v>
      </c>
    </row>
    <row r="3276" spans="1:5" hidden="1" x14ac:dyDescent="0.25">
      <c r="A3276">
        <v>62</v>
      </c>
      <c r="B3276">
        <v>4</v>
      </c>
      <c r="C3276" t="s">
        <v>39</v>
      </c>
      <c r="D3276" s="4">
        <v>0</v>
      </c>
      <c r="E3276" t="s">
        <v>39</v>
      </c>
    </row>
    <row r="3277" spans="1:5" x14ac:dyDescent="0.25">
      <c r="A3277">
        <v>62</v>
      </c>
      <c r="B3277">
        <v>4</v>
      </c>
      <c r="C3277" t="s">
        <v>2308</v>
      </c>
      <c r="D3277" s="5">
        <v>0</v>
      </c>
      <c r="E3277" t="s">
        <v>2309</v>
      </c>
    </row>
    <row r="3278" spans="1:5" hidden="1" x14ac:dyDescent="0.25">
      <c r="A3278">
        <v>62</v>
      </c>
      <c r="B3278">
        <v>4</v>
      </c>
      <c r="C3278" t="s">
        <v>39</v>
      </c>
      <c r="D3278" s="4">
        <v>0</v>
      </c>
      <c r="E3278" t="s">
        <v>39</v>
      </c>
    </row>
    <row r="3279" spans="1:5" x14ac:dyDescent="0.25">
      <c r="A3279">
        <v>62</v>
      </c>
      <c r="B3279">
        <v>4</v>
      </c>
      <c r="C3279" t="s">
        <v>2310</v>
      </c>
      <c r="D3279" s="5">
        <v>0</v>
      </c>
      <c r="E3279" t="s">
        <v>2695</v>
      </c>
    </row>
    <row r="3280" spans="1:5" hidden="1" x14ac:dyDescent="0.25">
      <c r="A3280">
        <v>62</v>
      </c>
      <c r="B3280">
        <v>4</v>
      </c>
      <c r="C3280" t="s">
        <v>39</v>
      </c>
      <c r="D3280" s="4">
        <v>0</v>
      </c>
      <c r="E3280" t="s">
        <v>39</v>
      </c>
    </row>
    <row r="3281" spans="1:5" x14ac:dyDescent="0.25">
      <c r="A3281">
        <v>62</v>
      </c>
      <c r="B3281">
        <v>4</v>
      </c>
      <c r="C3281" t="s">
        <v>2311</v>
      </c>
      <c r="D3281" s="5">
        <v>0</v>
      </c>
      <c r="E3281" t="s">
        <v>2312</v>
      </c>
    </row>
    <row r="3282" spans="1:5" hidden="1" x14ac:dyDescent="0.25">
      <c r="A3282">
        <v>62</v>
      </c>
      <c r="B3282">
        <v>4</v>
      </c>
      <c r="C3282" t="s">
        <v>39</v>
      </c>
      <c r="D3282" s="4">
        <v>0</v>
      </c>
      <c r="E3282" t="s">
        <v>39</v>
      </c>
    </row>
    <row r="3283" spans="1:5" x14ac:dyDescent="0.25">
      <c r="A3283">
        <v>62</v>
      </c>
      <c r="B3283">
        <v>4</v>
      </c>
      <c r="C3283" t="s">
        <v>2313</v>
      </c>
      <c r="D3283" s="5">
        <v>15</v>
      </c>
      <c r="E3283" t="s">
        <v>2696</v>
      </c>
    </row>
    <row r="3284" spans="1:5" hidden="1" x14ac:dyDescent="0.25">
      <c r="A3284">
        <v>62</v>
      </c>
      <c r="B3284">
        <v>4</v>
      </c>
      <c r="C3284" t="s">
        <v>39</v>
      </c>
      <c r="D3284" s="4">
        <v>0</v>
      </c>
      <c r="E3284" t="s">
        <v>39</v>
      </c>
    </row>
    <row r="3285" spans="1:5" hidden="1" x14ac:dyDescent="0.25">
      <c r="A3285">
        <v>62</v>
      </c>
      <c r="B3285">
        <v>4</v>
      </c>
      <c r="C3285" t="s">
        <v>39</v>
      </c>
      <c r="D3285" s="4">
        <v>0</v>
      </c>
      <c r="E3285" t="s">
        <v>39</v>
      </c>
    </row>
    <row r="3286" spans="1:5" hidden="1" x14ac:dyDescent="0.25">
      <c r="A3286">
        <v>62</v>
      </c>
      <c r="B3286">
        <v>7</v>
      </c>
      <c r="C3286" t="s">
        <v>39</v>
      </c>
      <c r="D3286" s="4">
        <v>0</v>
      </c>
      <c r="E3286" t="s">
        <v>39</v>
      </c>
    </row>
    <row r="3287" spans="1:5" x14ac:dyDescent="0.25">
      <c r="A3287">
        <v>62</v>
      </c>
      <c r="B3287">
        <v>7</v>
      </c>
      <c r="C3287" t="s">
        <v>2314</v>
      </c>
      <c r="D3287" s="5">
        <v>0</v>
      </c>
      <c r="E3287" t="s">
        <v>2315</v>
      </c>
    </row>
    <row r="3288" spans="1:5" hidden="1" x14ac:dyDescent="0.25">
      <c r="A3288">
        <v>62</v>
      </c>
      <c r="B3288">
        <v>7</v>
      </c>
      <c r="C3288" t="s">
        <v>39</v>
      </c>
      <c r="D3288" s="4">
        <v>0</v>
      </c>
      <c r="E3288" t="s">
        <v>39</v>
      </c>
    </row>
    <row r="3289" spans="1:5" x14ac:dyDescent="0.25">
      <c r="A3289">
        <v>62</v>
      </c>
      <c r="B3289">
        <v>7</v>
      </c>
      <c r="C3289" t="s">
        <v>2316</v>
      </c>
      <c r="D3289" s="5">
        <v>0</v>
      </c>
      <c r="E3289" t="s">
        <v>2343</v>
      </c>
    </row>
    <row r="3290" spans="1:5" hidden="1" x14ac:dyDescent="0.25">
      <c r="A3290">
        <v>62</v>
      </c>
      <c r="B3290">
        <v>7</v>
      </c>
      <c r="C3290" t="s">
        <v>39</v>
      </c>
      <c r="D3290" s="4">
        <v>0</v>
      </c>
      <c r="E3290" t="s">
        <v>39</v>
      </c>
    </row>
    <row r="3291" spans="1:5" x14ac:dyDescent="0.25">
      <c r="A3291">
        <v>62</v>
      </c>
      <c r="B3291">
        <v>7</v>
      </c>
      <c r="C3291" t="s">
        <v>2317</v>
      </c>
      <c r="D3291" s="5">
        <v>0</v>
      </c>
      <c r="E3291" t="s">
        <v>2697</v>
      </c>
    </row>
    <row r="3292" spans="1:5" hidden="1" x14ac:dyDescent="0.25">
      <c r="A3292">
        <v>62</v>
      </c>
      <c r="B3292">
        <v>7</v>
      </c>
      <c r="C3292" t="s">
        <v>39</v>
      </c>
      <c r="D3292" s="4">
        <v>0</v>
      </c>
      <c r="E3292" t="s">
        <v>39</v>
      </c>
    </row>
    <row r="3293" spans="1:5" x14ac:dyDescent="0.25">
      <c r="A3293">
        <v>62</v>
      </c>
      <c r="B3293">
        <v>7</v>
      </c>
      <c r="C3293" t="s">
        <v>2318</v>
      </c>
      <c r="D3293" s="5">
        <v>0</v>
      </c>
      <c r="E3293" t="s">
        <v>2319</v>
      </c>
    </row>
    <row r="3294" spans="1:5" hidden="1" x14ac:dyDescent="0.25">
      <c r="A3294">
        <v>62</v>
      </c>
      <c r="B3294">
        <v>7</v>
      </c>
      <c r="C3294" t="s">
        <v>39</v>
      </c>
      <c r="D3294" s="4">
        <v>0</v>
      </c>
      <c r="E3294" t="s">
        <v>39</v>
      </c>
    </row>
    <row r="3295" spans="1:5" hidden="1" x14ac:dyDescent="0.25">
      <c r="A3295">
        <v>62</v>
      </c>
      <c r="B3295">
        <v>10</v>
      </c>
      <c r="C3295" t="s">
        <v>39</v>
      </c>
      <c r="D3295" s="4">
        <v>0</v>
      </c>
      <c r="E3295" t="s">
        <v>39</v>
      </c>
    </row>
    <row r="3296" spans="1:5" x14ac:dyDescent="0.25">
      <c r="A3296">
        <v>62</v>
      </c>
      <c r="B3296">
        <v>10</v>
      </c>
      <c r="C3296" t="s">
        <v>2320</v>
      </c>
      <c r="D3296" s="5">
        <v>60</v>
      </c>
      <c r="E3296" t="s">
        <v>2344</v>
      </c>
    </row>
    <row r="3297" spans="1:5" hidden="1" x14ac:dyDescent="0.25">
      <c r="A3297">
        <v>62</v>
      </c>
      <c r="B3297">
        <v>10</v>
      </c>
      <c r="C3297" t="s">
        <v>39</v>
      </c>
      <c r="D3297" s="4">
        <v>0</v>
      </c>
      <c r="E3297" t="s">
        <v>39</v>
      </c>
    </row>
    <row r="3298" spans="1:5" hidden="1" x14ac:dyDescent="0.25">
      <c r="A3298">
        <v>62</v>
      </c>
      <c r="B3298">
        <v>10</v>
      </c>
      <c r="C3298" t="s">
        <v>39</v>
      </c>
      <c r="D3298" s="4">
        <v>0</v>
      </c>
      <c r="E3298" t="s">
        <v>39</v>
      </c>
    </row>
    <row r="3299" spans="1:5" x14ac:dyDescent="0.25">
      <c r="A3299">
        <v>62</v>
      </c>
      <c r="B3299">
        <v>10</v>
      </c>
      <c r="C3299" t="s">
        <v>2321</v>
      </c>
      <c r="D3299" s="5">
        <v>18</v>
      </c>
      <c r="E3299" t="s">
        <v>2345</v>
      </c>
    </row>
    <row r="3300" spans="1:5" hidden="1" x14ac:dyDescent="0.25">
      <c r="A3300">
        <v>62</v>
      </c>
      <c r="B3300">
        <v>10</v>
      </c>
      <c r="C3300" t="s">
        <v>39</v>
      </c>
      <c r="D3300" s="4">
        <v>0</v>
      </c>
      <c r="E3300" t="s">
        <v>39</v>
      </c>
    </row>
    <row r="3301" spans="1:5" hidden="1" x14ac:dyDescent="0.25">
      <c r="A3301">
        <v>62</v>
      </c>
      <c r="B3301">
        <v>10</v>
      </c>
      <c r="C3301" t="s">
        <v>39</v>
      </c>
      <c r="D3301" s="4">
        <v>0</v>
      </c>
      <c r="E3301" t="s">
        <v>39</v>
      </c>
    </row>
    <row r="3302" spans="1:5" hidden="1" x14ac:dyDescent="0.25">
      <c r="A3302">
        <v>62</v>
      </c>
      <c r="B3302">
        <v>13</v>
      </c>
      <c r="C3302" t="s">
        <v>39</v>
      </c>
      <c r="D3302" s="4">
        <v>0</v>
      </c>
      <c r="E3302" t="s">
        <v>39</v>
      </c>
    </row>
    <row r="3303" spans="1:5" x14ac:dyDescent="0.25">
      <c r="A3303">
        <v>62</v>
      </c>
      <c r="B3303">
        <v>13</v>
      </c>
      <c r="C3303" t="s">
        <v>2322</v>
      </c>
      <c r="D3303" s="5">
        <v>0</v>
      </c>
      <c r="E3303" t="s">
        <v>2698</v>
      </c>
    </row>
    <row r="3304" spans="1:5" hidden="1" x14ac:dyDescent="0.25">
      <c r="A3304">
        <v>62</v>
      </c>
      <c r="B3304">
        <v>13</v>
      </c>
      <c r="C3304" t="s">
        <v>39</v>
      </c>
      <c r="D3304" s="4">
        <v>0</v>
      </c>
      <c r="E3304" t="s">
        <v>39</v>
      </c>
    </row>
    <row r="3305" spans="1:5" x14ac:dyDescent="0.25">
      <c r="A3305">
        <v>62</v>
      </c>
      <c r="B3305">
        <v>13</v>
      </c>
      <c r="C3305" t="s">
        <v>2323</v>
      </c>
      <c r="D3305" s="5">
        <v>0</v>
      </c>
      <c r="E3305" t="s">
        <v>2324</v>
      </c>
    </row>
    <row r="3306" spans="1:5" hidden="1" x14ac:dyDescent="0.25">
      <c r="A3306">
        <v>62</v>
      </c>
      <c r="B3306">
        <v>13</v>
      </c>
      <c r="C3306" t="s">
        <v>39</v>
      </c>
      <c r="D3306" s="4">
        <v>0</v>
      </c>
      <c r="E3306" t="s">
        <v>39</v>
      </c>
    </row>
    <row r="3307" spans="1:5" x14ac:dyDescent="0.25">
      <c r="A3307">
        <v>62</v>
      </c>
      <c r="B3307">
        <v>13</v>
      </c>
      <c r="C3307" t="s">
        <v>2325</v>
      </c>
      <c r="D3307" s="5">
        <v>0</v>
      </c>
      <c r="E3307" t="s">
        <v>2326</v>
      </c>
    </row>
    <row r="3308" spans="1:5" hidden="1" x14ac:dyDescent="0.25">
      <c r="A3308">
        <v>62</v>
      </c>
      <c r="B3308">
        <v>13</v>
      </c>
      <c r="C3308" t="s">
        <v>39</v>
      </c>
      <c r="D3308" s="4">
        <v>0</v>
      </c>
      <c r="E3308" t="s">
        <v>39</v>
      </c>
    </row>
    <row r="3309" spans="1:5" x14ac:dyDescent="0.25">
      <c r="A3309">
        <v>62</v>
      </c>
      <c r="B3309">
        <v>13</v>
      </c>
      <c r="C3309" t="s">
        <v>2327</v>
      </c>
      <c r="D3309" s="5">
        <v>0</v>
      </c>
      <c r="E3309" t="s">
        <v>2328</v>
      </c>
    </row>
    <row r="3310" spans="1:5" hidden="1" x14ac:dyDescent="0.25">
      <c r="A3310">
        <v>62</v>
      </c>
      <c r="B3310">
        <v>13</v>
      </c>
      <c r="C3310" t="s">
        <v>39</v>
      </c>
      <c r="D3310" s="4">
        <v>0</v>
      </c>
      <c r="E3310" t="s">
        <v>39</v>
      </c>
    </row>
    <row r="3311" spans="1:5" hidden="1" x14ac:dyDescent="0.25">
      <c r="A3311">
        <v>62</v>
      </c>
      <c r="B3311">
        <v>16</v>
      </c>
      <c r="C3311" t="s">
        <v>39</v>
      </c>
      <c r="D3311" s="4">
        <v>0</v>
      </c>
      <c r="E3311" t="s">
        <v>39</v>
      </c>
    </row>
    <row r="3312" spans="1:5" x14ac:dyDescent="0.25">
      <c r="A3312">
        <v>62</v>
      </c>
      <c r="B3312">
        <v>16</v>
      </c>
      <c r="C3312" t="s">
        <v>2329</v>
      </c>
      <c r="D3312" s="5">
        <v>0</v>
      </c>
      <c r="E3312" t="s">
        <v>2330</v>
      </c>
    </row>
    <row r="3313" spans="1:5" hidden="1" x14ac:dyDescent="0.25">
      <c r="A3313">
        <v>62</v>
      </c>
      <c r="B3313">
        <v>16</v>
      </c>
      <c r="C3313" t="s">
        <v>39</v>
      </c>
      <c r="D3313" s="4">
        <v>0</v>
      </c>
      <c r="E3313" t="s">
        <v>39</v>
      </c>
    </row>
    <row r="3314" spans="1:5" x14ac:dyDescent="0.25">
      <c r="A3314">
        <v>62</v>
      </c>
      <c r="B3314">
        <v>16</v>
      </c>
      <c r="C3314" t="s">
        <v>2331</v>
      </c>
      <c r="D3314" s="5">
        <v>0</v>
      </c>
      <c r="E3314" t="s">
        <v>2699</v>
      </c>
    </row>
    <row r="3315" spans="1:5" hidden="1" x14ac:dyDescent="0.25">
      <c r="A3315">
        <v>62</v>
      </c>
      <c r="B3315">
        <v>16</v>
      </c>
      <c r="C3315" t="s">
        <v>39</v>
      </c>
      <c r="D3315" s="4">
        <v>0</v>
      </c>
      <c r="E3315" t="s">
        <v>39</v>
      </c>
    </row>
    <row r="3316" spans="1:5" x14ac:dyDescent="0.25">
      <c r="A3316">
        <v>62</v>
      </c>
      <c r="B3316">
        <v>16</v>
      </c>
      <c r="C3316" t="s">
        <v>2332</v>
      </c>
      <c r="D3316" s="5">
        <v>0</v>
      </c>
      <c r="E3316" t="s">
        <v>2333</v>
      </c>
    </row>
    <row r="3317" spans="1:5" hidden="1" x14ac:dyDescent="0.25">
      <c r="A3317">
        <v>62</v>
      </c>
      <c r="B3317">
        <v>16</v>
      </c>
      <c r="C3317" t="s">
        <v>39</v>
      </c>
      <c r="D3317" s="4">
        <v>0</v>
      </c>
      <c r="E3317" t="s">
        <v>39</v>
      </c>
    </row>
    <row r="3318" spans="1:5" x14ac:dyDescent="0.25">
      <c r="A3318">
        <v>62</v>
      </c>
      <c r="B3318">
        <v>16</v>
      </c>
      <c r="C3318" t="s">
        <v>2334</v>
      </c>
      <c r="D3318" s="5">
        <v>60</v>
      </c>
      <c r="E3318" t="s">
        <v>2335</v>
      </c>
    </row>
    <row r="3319" spans="1:5" hidden="1" x14ac:dyDescent="0.25">
      <c r="A3319">
        <v>62</v>
      </c>
      <c r="B3319">
        <v>16</v>
      </c>
      <c r="C3319" t="s">
        <v>39</v>
      </c>
      <c r="D3319" s="4">
        <v>0</v>
      </c>
      <c r="E3319" t="s">
        <v>39</v>
      </c>
    </row>
    <row r="3320" spans="1:5" hidden="1" x14ac:dyDescent="0.25">
      <c r="A3320">
        <v>62</v>
      </c>
      <c r="B3320">
        <v>16</v>
      </c>
      <c r="C3320" t="s">
        <v>39</v>
      </c>
      <c r="D3320" s="4">
        <v>0</v>
      </c>
      <c r="E3320" t="s">
        <v>39</v>
      </c>
    </row>
    <row r="3321" spans="1:5" hidden="1" x14ac:dyDescent="0.25">
      <c r="A3321">
        <v>62</v>
      </c>
      <c r="B3321">
        <v>16</v>
      </c>
      <c r="C3321" t="s">
        <v>39</v>
      </c>
      <c r="D3321" s="4">
        <v>0</v>
      </c>
      <c r="E3321" t="s">
        <v>39</v>
      </c>
    </row>
    <row r="3322" spans="1:5" hidden="1" x14ac:dyDescent="0.25">
      <c r="A3322">
        <v>62</v>
      </c>
      <c r="B3322">
        <v>20</v>
      </c>
      <c r="C3322" t="s">
        <v>39</v>
      </c>
      <c r="D3322" s="4">
        <v>0</v>
      </c>
      <c r="E3322" t="s">
        <v>39</v>
      </c>
    </row>
    <row r="3323" spans="1:5" x14ac:dyDescent="0.25">
      <c r="A3323">
        <v>62</v>
      </c>
      <c r="B3323">
        <v>20</v>
      </c>
      <c r="C3323" t="s">
        <v>2336</v>
      </c>
      <c r="D3323" s="5">
        <v>0</v>
      </c>
      <c r="E3323" t="s">
        <v>2337</v>
      </c>
    </row>
    <row r="3324" spans="1:5" hidden="1" x14ac:dyDescent="0.25">
      <c r="A3324">
        <v>62</v>
      </c>
      <c r="B3324">
        <v>20</v>
      </c>
      <c r="C3324" t="s">
        <v>39</v>
      </c>
      <c r="D3324" s="4">
        <v>0</v>
      </c>
      <c r="E3324" t="s">
        <v>39</v>
      </c>
    </row>
    <row r="3325" spans="1:5" x14ac:dyDescent="0.25">
      <c r="A3325">
        <v>62</v>
      </c>
      <c r="B3325">
        <v>20</v>
      </c>
      <c r="C3325" t="s">
        <v>2338</v>
      </c>
      <c r="D3325" s="5">
        <v>0</v>
      </c>
      <c r="E3325" t="s">
        <v>2339</v>
      </c>
    </row>
    <row r="3326" spans="1:5" hidden="1" x14ac:dyDescent="0.25">
      <c r="A3326">
        <v>62</v>
      </c>
      <c r="B3326">
        <v>20</v>
      </c>
      <c r="C3326" t="s">
        <v>39</v>
      </c>
      <c r="D3326" s="4">
        <v>0</v>
      </c>
      <c r="E3326" t="s">
        <v>39</v>
      </c>
    </row>
    <row r="3327" spans="1:5" x14ac:dyDescent="0.25">
      <c r="A3327">
        <v>62</v>
      </c>
      <c r="B3327">
        <v>20</v>
      </c>
      <c r="C3327" t="s">
        <v>2340</v>
      </c>
      <c r="D3327" s="5">
        <v>0</v>
      </c>
      <c r="E3327" t="s">
        <v>2341</v>
      </c>
    </row>
    <row r="3328" spans="1:5" hidden="1" x14ac:dyDescent="0.25">
      <c r="A3328">
        <v>62</v>
      </c>
      <c r="B3328">
        <v>20</v>
      </c>
      <c r="C3328" t="s">
        <v>39</v>
      </c>
      <c r="D3328" s="4">
        <v>0</v>
      </c>
      <c r="E3328" t="s">
        <v>39</v>
      </c>
    </row>
    <row r="3329" spans="1:5" x14ac:dyDescent="0.25">
      <c r="A3329">
        <v>62</v>
      </c>
      <c r="B3329">
        <v>20</v>
      </c>
      <c r="C3329" t="s">
        <v>2342</v>
      </c>
      <c r="D3329" s="5">
        <v>45</v>
      </c>
      <c r="E3329" t="s">
        <v>2700</v>
      </c>
    </row>
    <row r="3330" spans="1:5" x14ac:dyDescent="0.25">
      <c r="A3330">
        <v>63</v>
      </c>
      <c r="B3330">
        <v>1</v>
      </c>
      <c r="C3330" t="s">
        <v>2346</v>
      </c>
      <c r="D3330" s="5">
        <v>0</v>
      </c>
      <c r="E3330" t="s">
        <v>2347</v>
      </c>
    </row>
    <row r="3331" spans="1:5" hidden="1" x14ac:dyDescent="0.25">
      <c r="A3331">
        <v>63</v>
      </c>
      <c r="B3331">
        <v>1</v>
      </c>
      <c r="C3331" t="s">
        <v>39</v>
      </c>
      <c r="D3331" s="4">
        <v>0</v>
      </c>
      <c r="E3331" t="s">
        <v>39</v>
      </c>
    </row>
    <row r="3332" spans="1:5" x14ac:dyDescent="0.25">
      <c r="A3332">
        <v>63</v>
      </c>
      <c r="B3332">
        <v>1</v>
      </c>
      <c r="C3332" t="s">
        <v>2348</v>
      </c>
      <c r="D3332" s="5">
        <v>0</v>
      </c>
      <c r="E3332" t="s">
        <v>2349</v>
      </c>
    </row>
    <row r="3333" spans="1:5" hidden="1" x14ac:dyDescent="0.25">
      <c r="A3333">
        <v>63</v>
      </c>
      <c r="B3333">
        <v>1</v>
      </c>
      <c r="C3333" t="s">
        <v>39</v>
      </c>
      <c r="D3333" s="4">
        <v>0</v>
      </c>
      <c r="E3333" t="s">
        <v>39</v>
      </c>
    </row>
    <row r="3334" spans="1:5" x14ac:dyDescent="0.25">
      <c r="A3334">
        <v>63</v>
      </c>
      <c r="B3334">
        <v>1</v>
      </c>
      <c r="C3334" t="s">
        <v>2350</v>
      </c>
      <c r="D3334" s="5">
        <v>0</v>
      </c>
      <c r="E3334" t="s">
        <v>2385</v>
      </c>
    </row>
    <row r="3335" spans="1:5" hidden="1" x14ac:dyDescent="0.25">
      <c r="A3335">
        <v>63</v>
      </c>
      <c r="B3335">
        <v>1</v>
      </c>
      <c r="C3335" t="s">
        <v>39</v>
      </c>
      <c r="D3335" s="4">
        <v>0</v>
      </c>
      <c r="E3335" t="s">
        <v>39</v>
      </c>
    </row>
    <row r="3336" spans="1:5" hidden="1" x14ac:dyDescent="0.25">
      <c r="A3336">
        <v>63</v>
      </c>
      <c r="B3336">
        <v>4</v>
      </c>
      <c r="C3336" t="s">
        <v>39</v>
      </c>
      <c r="D3336" s="4">
        <v>0</v>
      </c>
      <c r="E3336" t="s">
        <v>39</v>
      </c>
    </row>
    <row r="3337" spans="1:5" x14ac:dyDescent="0.25">
      <c r="A3337">
        <v>63</v>
      </c>
      <c r="B3337">
        <v>4</v>
      </c>
      <c r="C3337" t="s">
        <v>2701</v>
      </c>
      <c r="D3337" s="5">
        <v>0</v>
      </c>
      <c r="E3337" t="s">
        <v>2352</v>
      </c>
    </row>
    <row r="3338" spans="1:5" hidden="1" x14ac:dyDescent="0.25">
      <c r="A3338">
        <v>63</v>
      </c>
      <c r="B3338">
        <v>4</v>
      </c>
      <c r="C3338" t="s">
        <v>39</v>
      </c>
      <c r="D3338" s="4">
        <v>0</v>
      </c>
      <c r="E3338" t="s">
        <v>39</v>
      </c>
    </row>
    <row r="3339" spans="1:5" x14ac:dyDescent="0.25">
      <c r="A3339">
        <v>63</v>
      </c>
      <c r="B3339">
        <v>4</v>
      </c>
      <c r="C3339" t="s">
        <v>2353</v>
      </c>
      <c r="D3339" s="5">
        <v>0</v>
      </c>
      <c r="E3339" t="s">
        <v>2354</v>
      </c>
    </row>
    <row r="3340" spans="1:5" hidden="1" x14ac:dyDescent="0.25">
      <c r="A3340">
        <v>63</v>
      </c>
      <c r="B3340">
        <v>4</v>
      </c>
      <c r="C3340" t="s">
        <v>39</v>
      </c>
      <c r="D3340" s="4">
        <v>0</v>
      </c>
      <c r="E3340" t="s">
        <v>39</v>
      </c>
    </row>
    <row r="3341" spans="1:5" hidden="1" x14ac:dyDescent="0.25">
      <c r="A3341">
        <v>63</v>
      </c>
      <c r="B3341">
        <v>4</v>
      </c>
      <c r="C3341" t="s">
        <v>39</v>
      </c>
      <c r="D3341" s="4">
        <v>0</v>
      </c>
      <c r="E3341" t="s">
        <v>39</v>
      </c>
    </row>
    <row r="3342" spans="1:5" x14ac:dyDescent="0.25">
      <c r="A3342">
        <v>63</v>
      </c>
      <c r="B3342">
        <v>4</v>
      </c>
      <c r="C3342" t="s">
        <v>2356</v>
      </c>
      <c r="D3342" s="5">
        <v>60</v>
      </c>
      <c r="E3342" t="s">
        <v>2386</v>
      </c>
    </row>
    <row r="3343" spans="1:5" hidden="1" x14ac:dyDescent="0.25">
      <c r="A3343">
        <v>63</v>
      </c>
      <c r="B3343">
        <v>4</v>
      </c>
      <c r="C3343" t="s">
        <v>39</v>
      </c>
      <c r="D3343" s="4">
        <v>0</v>
      </c>
      <c r="E3343" t="s">
        <v>39</v>
      </c>
    </row>
    <row r="3344" spans="1:5" hidden="1" x14ac:dyDescent="0.25">
      <c r="A3344">
        <v>63</v>
      </c>
      <c r="B3344">
        <v>4</v>
      </c>
      <c r="C3344" t="s">
        <v>39</v>
      </c>
      <c r="D3344" s="4">
        <v>0</v>
      </c>
      <c r="E3344" t="s">
        <v>39</v>
      </c>
    </row>
    <row r="3345" spans="1:5" hidden="1" x14ac:dyDescent="0.25">
      <c r="A3345">
        <v>63</v>
      </c>
      <c r="B3345">
        <v>7</v>
      </c>
      <c r="C3345" t="s">
        <v>39</v>
      </c>
      <c r="D3345" s="4">
        <v>0</v>
      </c>
      <c r="E3345" t="s">
        <v>39</v>
      </c>
    </row>
    <row r="3346" spans="1:5" x14ac:dyDescent="0.25">
      <c r="A3346">
        <v>63</v>
      </c>
      <c r="B3346">
        <v>7</v>
      </c>
      <c r="C3346" t="s">
        <v>2357</v>
      </c>
      <c r="D3346" s="5">
        <v>0</v>
      </c>
      <c r="E3346" t="s">
        <v>2358</v>
      </c>
    </row>
    <row r="3347" spans="1:5" hidden="1" x14ac:dyDescent="0.25">
      <c r="A3347">
        <v>63</v>
      </c>
      <c r="B3347">
        <v>7</v>
      </c>
      <c r="C3347" t="s">
        <v>39</v>
      </c>
      <c r="D3347" s="4">
        <v>0</v>
      </c>
      <c r="E3347" t="s">
        <v>39</v>
      </c>
    </row>
    <row r="3348" spans="1:5" x14ac:dyDescent="0.25">
      <c r="A3348">
        <v>63</v>
      </c>
      <c r="B3348">
        <v>7</v>
      </c>
      <c r="C3348" t="s">
        <v>2359</v>
      </c>
      <c r="D3348" s="5">
        <v>0</v>
      </c>
      <c r="E3348" t="s">
        <v>2360</v>
      </c>
    </row>
    <row r="3349" spans="1:5" hidden="1" x14ac:dyDescent="0.25">
      <c r="A3349">
        <v>63</v>
      </c>
      <c r="B3349">
        <v>7</v>
      </c>
      <c r="C3349" t="s">
        <v>39</v>
      </c>
      <c r="D3349" s="4">
        <v>0</v>
      </c>
      <c r="E3349" t="s">
        <v>39</v>
      </c>
    </row>
    <row r="3350" spans="1:5" x14ac:dyDescent="0.25">
      <c r="A3350">
        <v>63</v>
      </c>
      <c r="B3350">
        <v>7</v>
      </c>
      <c r="C3350" t="s">
        <v>2361</v>
      </c>
      <c r="D3350" s="5">
        <v>0</v>
      </c>
      <c r="E3350" t="s">
        <v>2362</v>
      </c>
    </row>
    <row r="3351" spans="1:5" hidden="1" x14ac:dyDescent="0.25">
      <c r="A3351">
        <v>63</v>
      </c>
      <c r="B3351">
        <v>7</v>
      </c>
      <c r="C3351" t="s">
        <v>39</v>
      </c>
      <c r="D3351" s="4">
        <v>0</v>
      </c>
      <c r="E3351" t="s">
        <v>39</v>
      </c>
    </row>
    <row r="3352" spans="1:5" hidden="1" x14ac:dyDescent="0.25">
      <c r="A3352">
        <v>63</v>
      </c>
      <c r="B3352">
        <v>10</v>
      </c>
      <c r="C3352" t="s">
        <v>39</v>
      </c>
      <c r="D3352" s="4">
        <v>0</v>
      </c>
      <c r="E3352" t="s">
        <v>39</v>
      </c>
    </row>
    <row r="3353" spans="1:5" x14ac:dyDescent="0.25">
      <c r="A3353">
        <v>63</v>
      </c>
      <c r="B3353">
        <v>10</v>
      </c>
      <c r="C3353" t="s">
        <v>2702</v>
      </c>
      <c r="D3353" s="5">
        <v>90</v>
      </c>
      <c r="E3353" t="s">
        <v>2364</v>
      </c>
    </row>
    <row r="3354" spans="1:5" hidden="1" x14ac:dyDescent="0.25">
      <c r="A3354">
        <v>63</v>
      </c>
      <c r="B3354">
        <v>10</v>
      </c>
      <c r="C3354" t="s">
        <v>39</v>
      </c>
      <c r="D3354" s="4">
        <v>0</v>
      </c>
      <c r="E3354" t="s">
        <v>39</v>
      </c>
    </row>
    <row r="3355" spans="1:5" hidden="1" x14ac:dyDescent="0.25">
      <c r="A3355">
        <v>63</v>
      </c>
      <c r="B3355">
        <v>10</v>
      </c>
      <c r="C3355" t="s">
        <v>39</v>
      </c>
      <c r="D3355" s="4">
        <v>0</v>
      </c>
      <c r="E3355" t="s">
        <v>39</v>
      </c>
    </row>
    <row r="3356" spans="1:5" x14ac:dyDescent="0.25">
      <c r="A3356">
        <v>63</v>
      </c>
      <c r="B3356">
        <v>10</v>
      </c>
      <c r="C3356" t="s">
        <v>2365</v>
      </c>
      <c r="D3356" s="5">
        <v>45</v>
      </c>
      <c r="E3356" t="s">
        <v>2366</v>
      </c>
    </row>
    <row r="3357" spans="1:5" hidden="1" x14ac:dyDescent="0.25">
      <c r="A3357">
        <v>63</v>
      </c>
      <c r="B3357">
        <v>10</v>
      </c>
      <c r="C3357" t="s">
        <v>39</v>
      </c>
      <c r="D3357" s="4">
        <v>0</v>
      </c>
      <c r="E3357" t="s">
        <v>39</v>
      </c>
    </row>
    <row r="3358" spans="1:5" hidden="1" x14ac:dyDescent="0.25">
      <c r="A3358">
        <v>63</v>
      </c>
      <c r="B3358">
        <v>10</v>
      </c>
      <c r="C3358" t="s">
        <v>39</v>
      </c>
      <c r="D3358" s="4">
        <v>0</v>
      </c>
      <c r="E3358" t="s">
        <v>39</v>
      </c>
    </row>
    <row r="3359" spans="1:5" hidden="1" x14ac:dyDescent="0.25">
      <c r="A3359">
        <v>63</v>
      </c>
      <c r="B3359">
        <v>13</v>
      </c>
      <c r="C3359" t="s">
        <v>39</v>
      </c>
      <c r="D3359" s="4">
        <v>0</v>
      </c>
      <c r="E3359" t="s">
        <v>39</v>
      </c>
    </row>
    <row r="3360" spans="1:5" x14ac:dyDescent="0.25">
      <c r="A3360">
        <v>63</v>
      </c>
      <c r="B3360">
        <v>13</v>
      </c>
      <c r="C3360" t="s">
        <v>2703</v>
      </c>
      <c r="D3360" s="5">
        <v>0</v>
      </c>
      <c r="E3360" t="s">
        <v>2368</v>
      </c>
    </row>
    <row r="3361" spans="1:5" hidden="1" x14ac:dyDescent="0.25">
      <c r="A3361">
        <v>63</v>
      </c>
      <c r="B3361">
        <v>13</v>
      </c>
      <c r="C3361" t="s">
        <v>39</v>
      </c>
      <c r="D3361" s="4">
        <v>0</v>
      </c>
      <c r="E3361" t="s">
        <v>39</v>
      </c>
    </row>
    <row r="3362" spans="1:5" x14ac:dyDescent="0.25">
      <c r="A3362">
        <v>63</v>
      </c>
      <c r="B3362">
        <v>13</v>
      </c>
      <c r="C3362" t="s">
        <v>2369</v>
      </c>
      <c r="D3362" s="5">
        <v>0</v>
      </c>
      <c r="E3362" t="s">
        <v>2370</v>
      </c>
    </row>
    <row r="3363" spans="1:5" hidden="1" x14ac:dyDescent="0.25">
      <c r="A3363">
        <v>63</v>
      </c>
      <c r="B3363">
        <v>13</v>
      </c>
      <c r="C3363" t="s">
        <v>39</v>
      </c>
      <c r="D3363" s="4">
        <v>0</v>
      </c>
      <c r="E3363" t="s">
        <v>39</v>
      </c>
    </row>
    <row r="3364" spans="1:5" x14ac:dyDescent="0.25">
      <c r="A3364">
        <v>63</v>
      </c>
      <c r="B3364">
        <v>13</v>
      </c>
      <c r="C3364" t="s">
        <v>2371</v>
      </c>
      <c r="D3364" s="5">
        <v>45</v>
      </c>
      <c r="E3364" t="s">
        <v>2372</v>
      </c>
    </row>
    <row r="3365" spans="1:5" hidden="1" x14ac:dyDescent="0.25">
      <c r="A3365">
        <v>63</v>
      </c>
      <c r="B3365">
        <v>13</v>
      </c>
      <c r="C3365" t="s">
        <v>39</v>
      </c>
      <c r="D3365" s="4">
        <v>0</v>
      </c>
      <c r="E3365" t="s">
        <v>39</v>
      </c>
    </row>
    <row r="3366" spans="1:5" hidden="1" x14ac:dyDescent="0.25">
      <c r="A3366">
        <v>63</v>
      </c>
      <c r="B3366">
        <v>13</v>
      </c>
      <c r="C3366" t="s">
        <v>39</v>
      </c>
      <c r="D3366" s="4">
        <v>0</v>
      </c>
      <c r="E3366" t="s">
        <v>39</v>
      </c>
    </row>
    <row r="3367" spans="1:5" hidden="1" x14ac:dyDescent="0.25">
      <c r="A3367">
        <v>63</v>
      </c>
      <c r="B3367">
        <v>16</v>
      </c>
      <c r="C3367" t="s">
        <v>39</v>
      </c>
      <c r="D3367" s="4">
        <v>0</v>
      </c>
      <c r="E3367" t="s">
        <v>39</v>
      </c>
    </row>
    <row r="3368" spans="1:5" x14ac:dyDescent="0.25">
      <c r="A3368">
        <v>63</v>
      </c>
      <c r="B3368">
        <v>16</v>
      </c>
      <c r="C3368" t="s">
        <v>2373</v>
      </c>
      <c r="D3368" s="5">
        <v>0</v>
      </c>
      <c r="E3368" t="s">
        <v>2374</v>
      </c>
    </row>
    <row r="3369" spans="1:5" hidden="1" x14ac:dyDescent="0.25">
      <c r="A3369">
        <v>63</v>
      </c>
      <c r="B3369">
        <v>16</v>
      </c>
      <c r="C3369" t="s">
        <v>39</v>
      </c>
      <c r="D3369" s="4">
        <v>0</v>
      </c>
      <c r="E3369" t="s">
        <v>39</v>
      </c>
    </row>
    <row r="3370" spans="1:5" x14ac:dyDescent="0.25">
      <c r="A3370">
        <v>63</v>
      </c>
      <c r="B3370">
        <v>16</v>
      </c>
      <c r="C3370" t="s">
        <v>2375</v>
      </c>
      <c r="D3370" s="5">
        <v>0</v>
      </c>
      <c r="E3370" t="s">
        <v>2376</v>
      </c>
    </row>
    <row r="3371" spans="1:5" hidden="1" x14ac:dyDescent="0.25">
      <c r="A3371">
        <v>63</v>
      </c>
      <c r="B3371">
        <v>16</v>
      </c>
      <c r="C3371" t="s">
        <v>39</v>
      </c>
      <c r="D3371" s="4">
        <v>0</v>
      </c>
      <c r="E3371" t="s">
        <v>39</v>
      </c>
    </row>
    <row r="3372" spans="1:5" x14ac:dyDescent="0.25">
      <c r="A3372">
        <v>63</v>
      </c>
      <c r="B3372">
        <v>16</v>
      </c>
      <c r="C3372" t="s">
        <v>2377</v>
      </c>
      <c r="D3372" s="5">
        <v>0</v>
      </c>
      <c r="E3372" t="s">
        <v>2378</v>
      </c>
    </row>
    <row r="3373" spans="1:5" hidden="1" x14ac:dyDescent="0.25">
      <c r="A3373">
        <v>63</v>
      </c>
      <c r="B3373">
        <v>16</v>
      </c>
      <c r="C3373" t="s">
        <v>39</v>
      </c>
      <c r="D3373" s="4">
        <v>0</v>
      </c>
      <c r="E3373" t="s">
        <v>39</v>
      </c>
    </row>
    <row r="3374" spans="1:5" hidden="1" x14ac:dyDescent="0.25">
      <c r="A3374">
        <v>63</v>
      </c>
      <c r="B3374">
        <v>20</v>
      </c>
      <c r="C3374" t="s">
        <v>39</v>
      </c>
      <c r="D3374" s="4">
        <v>0</v>
      </c>
      <c r="E3374" t="s">
        <v>39</v>
      </c>
    </row>
    <row r="3375" spans="1:5" x14ac:dyDescent="0.25">
      <c r="A3375">
        <v>63</v>
      </c>
      <c r="B3375">
        <v>20</v>
      </c>
      <c r="C3375" t="s">
        <v>2379</v>
      </c>
      <c r="D3375" s="5">
        <v>0</v>
      </c>
      <c r="E3375" t="s">
        <v>2704</v>
      </c>
    </row>
    <row r="3376" spans="1:5" hidden="1" x14ac:dyDescent="0.25">
      <c r="A3376">
        <v>63</v>
      </c>
      <c r="B3376">
        <v>20</v>
      </c>
      <c r="C3376" t="s">
        <v>39</v>
      </c>
      <c r="D3376" s="4">
        <v>0</v>
      </c>
      <c r="E3376" t="s">
        <v>39</v>
      </c>
    </row>
    <row r="3377" spans="1:5" x14ac:dyDescent="0.25">
      <c r="A3377">
        <v>63</v>
      </c>
      <c r="B3377">
        <v>20</v>
      </c>
      <c r="C3377" t="s">
        <v>2381</v>
      </c>
      <c r="D3377" s="5">
        <v>0</v>
      </c>
      <c r="E3377" t="s">
        <v>2382</v>
      </c>
    </row>
    <row r="3378" spans="1:5" hidden="1" x14ac:dyDescent="0.25">
      <c r="A3378">
        <v>63</v>
      </c>
      <c r="B3378">
        <v>20</v>
      </c>
      <c r="C3378" t="s">
        <v>39</v>
      </c>
      <c r="D3378" s="4">
        <v>0</v>
      </c>
      <c r="E3378" t="s">
        <v>39</v>
      </c>
    </row>
    <row r="3379" spans="1:5" x14ac:dyDescent="0.25">
      <c r="A3379">
        <v>63</v>
      </c>
      <c r="B3379">
        <v>20</v>
      </c>
      <c r="C3379" t="s">
        <v>2383</v>
      </c>
      <c r="D3379" s="5">
        <v>60</v>
      </c>
      <c r="E3379" t="s">
        <v>2384</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PreProcess</vt:lpstr>
      <vt:lpstr>Processing</vt:lpstr>
      <vt:lpstr>Table</vt:lpstr>
    </vt:vector>
  </TitlesOfParts>
  <Company>UWEC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Ehlers, Matthew Joseph</dc:creator>
  <cp:lastModifiedBy>Ehlers, Matthew Joseph</cp:lastModifiedBy>
  <dcterms:created xsi:type="dcterms:W3CDTF">2017-02-13T22:09:15Z</dcterms:created>
  <dcterms:modified xsi:type="dcterms:W3CDTF">2017-02-15T17:56:09Z</dcterms:modified>
</cp:coreProperties>
</file>